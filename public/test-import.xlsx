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pedroneto/Downloads/"/>
    </mc:Choice>
  </mc:AlternateContent>
  <xr:revisionPtr revIDLastSave="0" documentId="13_ncr:1_{1CBC4A08-0CFC-3945-9C2B-B11BBF3701B7}" xr6:coauthVersionLast="47" xr6:coauthVersionMax="47" xr10:uidLastSave="{00000000-0000-0000-0000-000000000000}"/>
  <bookViews>
    <workbookView xWindow="0" yWindow="660" windowWidth="29400" windowHeight="17220" activeTab="1" xr2:uid="{00000000-000D-0000-FFFF-FFFF00000000}"/>
  </bookViews>
  <sheets>
    <sheet name="CUSTOS LISBOA" sheetId="2" r:id="rId1"/>
    <sheet name="CUSTOS PORT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3" l="1"/>
  <c r="E74" i="3"/>
  <c r="E73" i="3"/>
  <c r="E72" i="3"/>
  <c r="D72" i="3"/>
  <c r="D71" i="3"/>
  <c r="E71" i="3" s="1"/>
  <c r="C70" i="3"/>
  <c r="D70" i="3" s="1"/>
  <c r="E70" i="3" s="1"/>
  <c r="D69" i="3"/>
  <c r="E69" i="3" s="1"/>
  <c r="D68" i="3"/>
  <c r="E68" i="3" s="1"/>
  <c r="C68" i="3"/>
  <c r="D67" i="3"/>
  <c r="C67" i="3"/>
  <c r="E67" i="3" s="1"/>
  <c r="E66" i="3"/>
  <c r="E63" i="3"/>
  <c r="C62" i="3"/>
  <c r="E62" i="3" s="1"/>
  <c r="C61" i="3"/>
  <c r="E61" i="3" s="1"/>
  <c r="C60" i="3"/>
  <c r="E60" i="3" s="1"/>
  <c r="E57" i="3"/>
  <c r="D57" i="3"/>
  <c r="C57" i="3"/>
  <c r="D56" i="3"/>
  <c r="E56" i="3" s="1"/>
  <c r="C55" i="3"/>
  <c r="D54" i="3"/>
  <c r="E54" i="3" s="1"/>
  <c r="E53" i="3"/>
  <c r="D53" i="3"/>
  <c r="D52" i="3"/>
  <c r="E52" i="3" s="1"/>
  <c r="D51" i="3"/>
  <c r="E51" i="3" s="1"/>
  <c r="D50" i="3"/>
  <c r="E50" i="3" s="1"/>
  <c r="D47" i="3"/>
  <c r="E47" i="3" s="1"/>
  <c r="E44" i="3"/>
  <c r="D44" i="3"/>
  <c r="C44" i="3"/>
  <c r="E41" i="3"/>
  <c r="E40" i="3"/>
  <c r="C39" i="3"/>
  <c r="C36" i="3"/>
  <c r="E36" i="3" s="1"/>
  <c r="E35" i="3"/>
  <c r="D35" i="3"/>
  <c r="C35" i="3"/>
  <c r="E34" i="3"/>
  <c r="D33" i="3"/>
  <c r="E33" i="3" s="1"/>
  <c r="E30" i="3"/>
  <c r="C29" i="3"/>
  <c r="D29" i="3" s="1"/>
  <c r="E29" i="3" s="1"/>
  <c r="E28" i="3"/>
  <c r="D28" i="3"/>
  <c r="C27" i="3"/>
  <c r="E24" i="3"/>
  <c r="E23" i="3"/>
  <c r="E22" i="3"/>
  <c r="E20" i="3"/>
  <c r="C17" i="3"/>
  <c r="E16" i="3"/>
  <c r="C16" i="3"/>
  <c r="C13" i="3"/>
  <c r="E9" i="3"/>
  <c r="C3" i="3"/>
  <c r="E84" i="2"/>
  <c r="E83" i="2"/>
  <c r="E82" i="2"/>
  <c r="E81" i="2"/>
  <c r="E79" i="2"/>
  <c r="D78" i="2"/>
  <c r="E78" i="2" s="1"/>
  <c r="C78" i="2"/>
  <c r="C77" i="2"/>
  <c r="D76" i="2"/>
  <c r="E76" i="2" s="1"/>
  <c r="C75" i="2"/>
  <c r="C74" i="2"/>
  <c r="D74" i="2" s="1"/>
  <c r="E74" i="2" s="1"/>
  <c r="E73" i="2"/>
  <c r="E72" i="2"/>
  <c r="D72" i="2"/>
  <c r="E71" i="2"/>
  <c r="E70" i="2"/>
  <c r="E69" i="2"/>
  <c r="E68" i="2"/>
  <c r="E65" i="2"/>
  <c r="C64" i="2"/>
  <c r="E64" i="2" s="1"/>
  <c r="C63" i="2"/>
  <c r="E63" i="2" s="1"/>
  <c r="C62" i="2"/>
  <c r="E62" i="2" s="1"/>
  <c r="E61" i="2"/>
  <c r="E60" i="2"/>
  <c r="E59" i="2"/>
  <c r="C58" i="2"/>
  <c r="D58" i="2" s="1"/>
  <c r="E58" i="2" s="1"/>
  <c r="D57" i="2"/>
  <c r="E57" i="2" s="1"/>
  <c r="D56" i="2"/>
  <c r="E56" i="2" s="1"/>
  <c r="D55" i="2"/>
  <c r="E55" i="2" s="1"/>
  <c r="E54" i="2"/>
  <c r="D54" i="2"/>
  <c r="D53" i="2"/>
  <c r="E53" i="2" s="1"/>
  <c r="D52" i="2"/>
  <c r="C52" i="2"/>
  <c r="E52" i="2" s="1"/>
  <c r="C51" i="2"/>
  <c r="D51" i="2" s="1"/>
  <c r="E51" i="2" s="1"/>
  <c r="D50" i="2"/>
  <c r="E50" i="2" s="1"/>
  <c r="C49" i="2"/>
  <c r="E46" i="2"/>
  <c r="D46" i="2"/>
  <c r="C43" i="2"/>
  <c r="D43" i="2" s="1"/>
  <c r="E43" i="2" s="1"/>
  <c r="D42" i="2"/>
  <c r="E42" i="2" s="1"/>
  <c r="C42" i="2"/>
  <c r="E39" i="2"/>
  <c r="E38" i="2"/>
  <c r="E37" i="2"/>
  <c r="E36" i="2"/>
  <c r="E33" i="2"/>
  <c r="C33" i="2"/>
  <c r="C32" i="2"/>
  <c r="D31" i="2"/>
  <c r="D30" i="2"/>
  <c r="E30" i="2" s="1"/>
  <c r="E27" i="2"/>
  <c r="D26" i="2"/>
  <c r="E26" i="2" s="1"/>
  <c r="C26" i="2"/>
  <c r="C25" i="2"/>
  <c r="C24" i="2"/>
  <c r="E21" i="2"/>
  <c r="C16" i="2"/>
  <c r="E16" i="2" s="1"/>
  <c r="C15" i="2"/>
  <c r="E15" i="2" s="1"/>
  <c r="E9" i="2"/>
  <c r="C3" i="2"/>
  <c r="E49" i="2" l="1"/>
  <c r="E25" i="2"/>
  <c r="C8" i="2"/>
  <c r="E24" i="2"/>
  <c r="C20" i="2"/>
  <c r="E20" i="2" s="1"/>
  <c r="C12" i="2"/>
  <c r="E12" i="2" s="1"/>
  <c r="C12" i="3"/>
  <c r="E12" i="3" s="1"/>
  <c r="C8" i="3"/>
  <c r="E32" i="2"/>
  <c r="D25" i="2"/>
  <c r="D32" i="2"/>
  <c r="D75" i="2"/>
  <c r="E75" i="2" s="1"/>
  <c r="E17" i="3"/>
  <c r="D39" i="3"/>
  <c r="E39" i="3" s="1"/>
  <c r="D55" i="3"/>
  <c r="E55" i="3" s="1"/>
  <c r="D77" i="2"/>
  <c r="E77" i="2" s="1"/>
  <c r="D13" i="3"/>
  <c r="D24" i="2"/>
  <c r="D49" i="2"/>
  <c r="D27" i="3"/>
  <c r="E27" i="3" s="1"/>
  <c r="C77" i="3" l="1"/>
  <c r="E8" i="3"/>
  <c r="E8" i="2"/>
  <c r="C86" i="2"/>
  <c r="D86" i="2"/>
  <c r="D77" i="3"/>
  <c r="E13" i="3"/>
  <c r="E86" i="2" l="1"/>
  <c r="E77" i="3"/>
</calcChain>
</file>

<file path=xl/sharedStrings.xml><?xml version="1.0" encoding="utf-8"?>
<sst xmlns="http://schemas.openxmlformats.org/spreadsheetml/2006/main" count="385" uniqueCount="193">
  <si>
    <t>MEM  2026 - LISBOA</t>
  </si>
  <si>
    <t xml:space="preserve">PLANILHA ORÇAMETÁRIA </t>
  </si>
  <si>
    <t>DESCRIÇÃO</t>
  </si>
  <si>
    <t>ESPECIFICAÇÕES</t>
  </si>
  <si>
    <t>CUSTO</t>
  </si>
  <si>
    <t>IVA</t>
  </si>
  <si>
    <t>TOTAL</t>
  </si>
  <si>
    <t>STATUS</t>
  </si>
  <si>
    <t>CACHETs ARTÍSTICO</t>
  </si>
  <si>
    <t xml:space="preserve">CACHÊ DOS ARTISTAS </t>
  </si>
  <si>
    <t>PAGO PARCIALMENTE</t>
  </si>
  <si>
    <t>2602_MundoPropicio_invoice_ShowCompleto_Lisboa.pdf</t>
  </si>
  <si>
    <t>DIARIA DE ALIMENTACAO E CACHE - adiantamento(MM).pdf</t>
  </si>
  <si>
    <t>DJ</t>
  </si>
  <si>
    <t>PAGO</t>
  </si>
  <si>
    <t>SAN DIEGO PAULA OLIVEIRA.pdf</t>
  </si>
  <si>
    <t>ALIMENTAÇÃO</t>
  </si>
  <si>
    <t xml:space="preserve">DIÁRIA DE ALIMENTAÇÃO (ARTISTA E EQUIPE) </t>
  </si>
  <si>
    <t xml:space="preserve">PASSAGENS </t>
  </si>
  <si>
    <t xml:space="preserve">PASSAGEM EXECUTIVAS + SEGURO + ALTERAÇÃO MAQUIADORES  </t>
  </si>
  <si>
    <t xml:space="preserve">FLUXO (FALTA FT) </t>
  </si>
  <si>
    <t xml:space="preserve">PASSAGENS ECONOMICAS </t>
  </si>
  <si>
    <t>BELLA STAR TRAVEL(MM).pdf</t>
  </si>
  <si>
    <t xml:space="preserve">HOSPEDAGEM </t>
  </si>
  <si>
    <t>HOTEL DOM PEDRO ARTISTA)</t>
  </si>
  <si>
    <t>DOM PEDRO - LISBOA.pdf</t>
  </si>
  <si>
    <t>HOTEL VIP EXECUTIVE ENTRECAMPOS (BANDA)</t>
  </si>
  <si>
    <t>VIP EXECUTIVE -  equipe tec./banda.pdf</t>
  </si>
  <si>
    <t>VIP HOSP. EQUIPE TEC./BANDA - lisboa complemento.pdf</t>
  </si>
  <si>
    <t>TRANSFERS</t>
  </si>
  <si>
    <t>ARTISTAS</t>
  </si>
  <si>
    <t xml:space="preserve">FORNECEDOR GEMEOS </t>
  </si>
  <si>
    <t>UNIVERSOPORTUNO, LDA.pdf</t>
  </si>
  <si>
    <t>BANDA E TÉCNICA</t>
  </si>
  <si>
    <t xml:space="preserve">AEROCOOPE </t>
  </si>
  <si>
    <t>AEROCOOPE.pdf</t>
  </si>
  <si>
    <t xml:space="preserve">CARRINHA EXTRA - MARAISA (DIA DA ENTREVISTA) </t>
  </si>
  <si>
    <t xml:space="preserve">CARRINHA - MP </t>
  </si>
  <si>
    <t>TBV RENT CAR (rateio c/ outro evento)</t>
  </si>
  <si>
    <t>Documento-1770250415973.pdf</t>
  </si>
  <si>
    <t>ESTRUTURA TÉCNICA/EQUIPAMENTOS/EQUIP.</t>
  </si>
  <si>
    <t>SOM/LUZ/ECRAN/LED LISBOA</t>
  </si>
  <si>
    <t>(BACKLIGHT)</t>
  </si>
  <si>
    <t>LANÇADO</t>
  </si>
  <si>
    <t>ELOS ESTRONDODOS UNIPESSOAL LDA(FEV).pdf</t>
  </si>
  <si>
    <t xml:space="preserve">ALCATIFA PALCO </t>
  </si>
  <si>
    <t>ALCATIFEX-CENTRO TECN REVESTIMENTOS LDA.(MM).pdf</t>
  </si>
  <si>
    <t xml:space="preserve">BACKLINE </t>
  </si>
  <si>
    <t>(ROCK IN THE TRUSS)</t>
  </si>
  <si>
    <t>HUGO COSTA UNIPESSOAL LDA.pdf</t>
  </si>
  <si>
    <t>ALFANDEGA</t>
  </si>
  <si>
    <t>MARIA CANDIDA DO VALE BARRADAS ALCOBIA(MM).pdf</t>
  </si>
  <si>
    <t>CAMARINS</t>
  </si>
  <si>
    <t>CAMARIM</t>
  </si>
  <si>
    <t>(Compras Supermercado - Reembolso liliam)</t>
  </si>
  <si>
    <t>CAMARIM 2026 - MM.pdf</t>
  </si>
  <si>
    <t xml:space="preserve">CACHÊ LILIAM </t>
  </si>
  <si>
    <t xml:space="preserve">STAFFS CAMARINS </t>
  </si>
  <si>
    <t xml:space="preserve">CARRINHA </t>
  </si>
  <si>
    <t>PRODUÇÃO/STAFF (CREW)</t>
  </si>
  <si>
    <t>EQUIPA DE PRODUÇÃO</t>
  </si>
  <si>
    <t xml:space="preserve">(Juliana, Gilberto, Délia, Leticia, Bruno) </t>
  </si>
  <si>
    <t>BRUNO ALEXANDRE FERNANDES PINTO DA FONSECA(MM).pdf</t>
  </si>
  <si>
    <t xml:space="preserve">STAGE HANDS </t>
  </si>
  <si>
    <t>WILLIAM RENE CLEM HERNANDEZ.pdf</t>
  </si>
  <si>
    <t>TICKETEIRA/CONTROLE DE ACESSO</t>
  </si>
  <si>
    <t xml:space="preserve">COMISSÃO TICKETLINE </t>
  </si>
  <si>
    <t xml:space="preserve">(2% dos bilhetes) </t>
  </si>
  <si>
    <t>MUNDOPROPICIO-MAIARAEMARAISA-06E07FEV26-FAT.pdf</t>
  </si>
  <si>
    <t>LOCAÇÃO DOS ESPAÇOS</t>
  </si>
  <si>
    <t>CAMPO PEQUENO</t>
  </si>
  <si>
    <t xml:space="preserve"> (valor variavel depedente da quantidade de público) </t>
  </si>
  <si>
    <t>PLATEIA COLOSSAL, LDA - 1º.pdf</t>
  </si>
  <si>
    <t>PLATEIA COLOSSAL, LDA(MM).pdf</t>
  </si>
  <si>
    <t>FT. 229 - MUNDO PROPÍCIO, UNIPESSOAL, LDA - MAIARA E MARAISA - 4ªTRANCHE.pdf</t>
  </si>
  <si>
    <t>FT. 230 - MUNDO PROPÍCIO, UNIPESSOAL, LDA - MAIARA E MARAISA - SERVIÇOS EXTRAS.pdf</t>
  </si>
  <si>
    <t xml:space="preserve">COMISSÃO DE VENDAS </t>
  </si>
  <si>
    <t xml:space="preserve">CAMPO PEQUENO </t>
  </si>
  <si>
    <t>FT. 231 - MUNDO PROPÍCIO, UNIPESSOAL, LDA - MAIARA E MARAISA - COMISSÃO VENDAS.pdf</t>
  </si>
  <si>
    <t xml:space="preserve">COMISSÃO DE EMISSÃO DE CONVITES </t>
  </si>
  <si>
    <t>RIGGER</t>
  </si>
  <si>
    <t xml:space="preserve">EMPILHADOR </t>
  </si>
  <si>
    <t xml:space="preserve">PLATAFORMA ELEVATÓRIA </t>
  </si>
  <si>
    <t>ASSISTENTES DE PULSEIRAS GOLDEN</t>
  </si>
  <si>
    <t xml:space="preserve">CATERING CAMARIM ARTISTA </t>
  </si>
  <si>
    <t>CATERING CAMARIM BANDA</t>
  </si>
  <si>
    <t xml:space="preserve">ALIMENTAÇÃO (TÉCNICA E PRODUÇÃO PT) </t>
  </si>
  <si>
    <t>VINIS ELEVADORES</t>
  </si>
  <si>
    <t>PLATEIA COLOSSAL, LDA - vinil.pdf</t>
  </si>
  <si>
    <t>SEGUROS/LICENÇAS</t>
  </si>
  <si>
    <t>SEGURO RESPONSABILIDADE CIVIL</t>
  </si>
  <si>
    <t>FATURA N° 2025-180.pdf</t>
  </si>
  <si>
    <t>PASSMUSIC</t>
  </si>
  <si>
    <t>PASSMUSIC.pdf</t>
  </si>
  <si>
    <t>SPA</t>
  </si>
  <si>
    <t>SOC PORTUGUESA AUTORES CRL(MM).pdf</t>
  </si>
  <si>
    <t xml:space="preserve">IGAC </t>
  </si>
  <si>
    <t>DIVULGAÇÃO (MÍDIA/MERCHAN/ATIVAÇÃO)</t>
  </si>
  <si>
    <t>ANUNCIOS INSTAGRAM/FACEBOOK</t>
  </si>
  <si>
    <t>Relatório de Mundo Propício - Maiara e Maraisa - Lisboa 2026.pdf</t>
  </si>
  <si>
    <t>REDE RECORD - VOZ OFF</t>
  </si>
  <si>
    <t>REDE RECORD DE TELEVISAO - EUROPA S.A. - 61.50€.pdf</t>
  </si>
  <si>
    <t>SPOT + REELS(T. DOTTA)</t>
  </si>
  <si>
    <t>THIAGO DOTTA.pdf</t>
  </si>
  <si>
    <t>VEICULAÇÃO: TV RECORD</t>
  </si>
  <si>
    <t>REDE RECORD TELEVISAO EUROPA SA(out) MM.pdf</t>
  </si>
  <si>
    <t>REDE RECORD TELEVISAO EUROPA SA(DEZ)2.3.pdf</t>
  </si>
  <si>
    <t>REDE RECORD TELEVISAO EUROPA SA - 3.3.pdf</t>
  </si>
  <si>
    <t xml:space="preserve">RÁDIO TROPICAL FM </t>
  </si>
  <si>
    <t>PROMO AÇÃO LUSITANA UNIPESSOAL L DA(1/2)mm.pdf</t>
  </si>
  <si>
    <t>PROMO AÇÃO LUSITANA UNIPESSOAL L DA - 2.2.pdf</t>
  </si>
  <si>
    <t>CAMPANHA MOP</t>
  </si>
  <si>
    <t>veiculação  25/10 A 31/10 - rateio evom</t>
  </si>
  <si>
    <t>MOP - M O P - PUBLICIDADE, S.A. - rateio MM.EVOM.pdf</t>
  </si>
  <si>
    <t xml:space="preserve">CAMPANHA - outdoors  Rua JC (PRODUÇÃO) </t>
  </si>
  <si>
    <t>Campanha de Agosto (20 de agosto incio - 07 dias) l rateio: chitão, zeca e MeM l   (2.039€ + IVA) l Divido por lisboa e porto</t>
  </si>
  <si>
    <t>PURBE - PUBLICIDADE URBANA E GESTAO LDA.pdf</t>
  </si>
  <si>
    <t xml:space="preserve">CAMPANHA - Mupis Impressos Rua JC (PRODUÇÃO) </t>
  </si>
  <si>
    <t>Campanha de Agosto (20 de agosto incio - 07 dias) l rateio: chitão, zeca e MeM l  700x cartazes (1.056€ + IVA) l Divido por lisboa e porto</t>
  </si>
  <si>
    <t>CAMPANHA DE MUPPIES DIGITAIS MOP</t>
  </si>
  <si>
    <t>Dividir com o Veigh 26 de nov a 01 de dez</t>
  </si>
  <si>
    <t xml:space="preserve">PRODUÇÃO CARTAZES MEM JCDECAUX </t>
  </si>
  <si>
    <t xml:space="preserve">Produção de mupis, outdoors e painéis MeM (Lisboa e Porto) campanha final de dez. inicio de jan. </t>
  </si>
  <si>
    <t>PURBE - PUBLICIDADE URBANA E GESTAO LDA(MM).pdf</t>
  </si>
  <si>
    <t>CAMPANHA DE MUPPIES JC (DIGITAL)</t>
  </si>
  <si>
    <t>02/01  a 08/01 (RATEIO COM FESTVYBBE E NEWGANG, SOTRAP)</t>
  </si>
  <si>
    <t>20260106162726_8264028845_PT500364460_PT.500364460_CI.515274291.pdf</t>
  </si>
  <si>
    <t>PLANFLETAGEM</t>
  </si>
  <si>
    <t xml:space="preserve">rateio c/ outros eventos </t>
  </si>
  <si>
    <t>TAIS VITORIA LIMA SILVA.pdf</t>
  </si>
  <si>
    <t>GABRIELA ALMEIDA TRAJANO SOUZA.pdf</t>
  </si>
  <si>
    <t>FERNANDO PASCHOARELLI VEIGA NOGUEROL.pdf</t>
  </si>
  <si>
    <t>ISABELA DE OLIVEIRA RIBEIRO.pdf</t>
  </si>
  <si>
    <t>rateio c/ outros eventos (vybbe)</t>
  </si>
  <si>
    <t>THAINA AVELINO BARROS.pdf</t>
  </si>
  <si>
    <t>CONFECÇÃO FLYER</t>
  </si>
  <si>
    <t>ADRIANO GIL AGUILAR(out)zeca/mm.pdf</t>
  </si>
  <si>
    <t>rateio c/ outro evento(Vybbe)</t>
  </si>
  <si>
    <t>ADRIANO GIL AGUILAR.pdf</t>
  </si>
  <si>
    <t>BOLT</t>
  </si>
  <si>
    <t>serviço de transfer diario</t>
  </si>
  <si>
    <t xml:space="preserve">DESPESAS DIVERSAS </t>
  </si>
  <si>
    <t>reembolso</t>
  </si>
  <si>
    <t>PRESTACAO DE CONTAS - reembolso.pdf</t>
  </si>
  <si>
    <t xml:space="preserve">TOTAL DE CUSTOS: </t>
  </si>
  <si>
    <t>MEM 2026  - PORTO</t>
  </si>
  <si>
    <t>z</t>
  </si>
  <si>
    <t>CACHE - adiantamento - MM 2026.pdf</t>
  </si>
  <si>
    <t>SHOW COMPLETO PRODUÇÕES ARTÍSTICAS ME porto.pdf</t>
  </si>
  <si>
    <t>JULIO CESAR LIMA DA SILVA .pdf</t>
  </si>
  <si>
    <t xml:space="preserve">(HORAS RADIANTE) </t>
  </si>
  <si>
    <t>HORAS RADIANTES - UNIPESSOAL LDA(MM).pdf</t>
  </si>
  <si>
    <t>HOTEL PORTO PALACIO(ARTISTA)</t>
  </si>
  <si>
    <t>PORTO PALACIO - eq. artistica MM.PDF</t>
  </si>
  <si>
    <t>PORTO PALACIO - PEDRO NETO .PDF</t>
  </si>
  <si>
    <t>HOTEL PORTO PALACIO (PEDRO)</t>
  </si>
  <si>
    <t>HOTEL TIMBRE (BANDA)</t>
  </si>
  <si>
    <t>TIMBRE PORTO.pdf</t>
  </si>
  <si>
    <t>TIMBRE EQUIPE TEC./BANDA - LISBOA MM.pdf</t>
  </si>
  <si>
    <t>HOTEL - PRODUÇÃO  MP</t>
  </si>
  <si>
    <t>TIMBRE equipe MP MM.pdf</t>
  </si>
  <si>
    <t>MOTORISTA</t>
  </si>
  <si>
    <t>TIMBRE - motorista.pdf</t>
  </si>
  <si>
    <t>DAY BANDA E TECNICA PORTO (dia 06)</t>
  </si>
  <si>
    <t xml:space="preserve">FERNANDO (4 carrinhas) </t>
  </si>
  <si>
    <t>NEVER2MUCH LDA(MM).pdf</t>
  </si>
  <si>
    <t xml:space="preserve">(LVT) </t>
  </si>
  <si>
    <t>LVT-AUDIO &amp; LIGHTNING EQUIPMENT,LDA .pdf</t>
  </si>
  <si>
    <t>(RICARDO MAGLIANO E EQUIPE)</t>
  </si>
  <si>
    <t>KATHLEEN SAYONARA GOMES FERREIRA .pdf</t>
  </si>
  <si>
    <t>WILLIAN JOSE RADULSKI.pdf</t>
  </si>
  <si>
    <t>(Sharlene)</t>
  </si>
  <si>
    <t>DELICIAS DE MINAS(1/2).pdf</t>
  </si>
  <si>
    <t>SHARLENE NAYARA SOUZA FECHAS - 2.2.pdf</t>
  </si>
  <si>
    <t>OUTROS</t>
  </si>
  <si>
    <t>MARCELO FERREIRA DA SILVA.pdf</t>
  </si>
  <si>
    <t xml:space="preserve">SUPERBOCK ARENA </t>
  </si>
  <si>
    <t>CÍRCULO DE CRISTAL, S.A..pdf</t>
  </si>
  <si>
    <t xml:space="preserve">PROMOTORAS PULSEIRAS </t>
  </si>
  <si>
    <t xml:space="preserve">PLATAFORMA ELEVATORIA </t>
  </si>
  <si>
    <t>ALCATIFA PALCO</t>
  </si>
  <si>
    <t>RIGGERS</t>
  </si>
  <si>
    <t xml:space="preserve">ESTRADOS BANDA </t>
  </si>
  <si>
    <t>ALUGUEL DE BARREIRA ANTI PANICO</t>
  </si>
  <si>
    <t>IGAC - MM Porto.pdf</t>
  </si>
  <si>
    <t>Relatório de Mundo Propício - Maiara e Maraisa - Porto 2026.pdf</t>
  </si>
  <si>
    <t>DREAM MEDIA (PORTO SÓ)</t>
  </si>
  <si>
    <t>(final de janeiro: Duração da campanha: 14 dias l Datas: 21/01/2026 a 03/02/2026
Quantidade: 100 mupis papel l 10k + 5k de bilhetes (PORTO)</t>
  </si>
  <si>
    <t>Fatura nº 2128.PDF</t>
  </si>
  <si>
    <t>02/01  a 08/01</t>
  </si>
  <si>
    <t>PULSEIRAS</t>
  </si>
  <si>
    <t xml:space="preserve">golden ***rateio c/ Vybbe </t>
  </si>
  <si>
    <t>ESAGINO PUBLICIDADE E PROJECTOS UNIP ,LDA.pdf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</si>
</sst>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€]#,##0.00"/>
    <numFmt numFmtId="165" formatCode="_-* #,##0.00\ [$€-816]_-;\-* #,##0.00\ [$€-816]_-;_-* &quot;-&quot;??\ [$€-816]_-;_-@"/>
    <numFmt numFmtId="166" formatCode="#,##0\ [$€-1];[Red]\-#,##0\ [$€-1]"/>
    <numFmt numFmtId="167" formatCode="&quot;R$&quot;#,##0_);[Red]\(&quot;R$&quot;#,##0\)"/>
  </numFmts>
  <fonts count="6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FFFFFF"/>
      <name val="Calibri"/>
    </font>
    <font>
      <sz val="10"/>
      <color theme="1"/>
      <name val="Calibri"/>
    </font>
    <font>
      <b/>
      <sz val="10"/>
      <color theme="1"/>
      <name val="Calibri"/>
    </font>
    <font>
      <sz val="10"/>
      <color rgb="FF000000"/>
      <name val="Calibri"/>
    </font>
    <font>
      <sz val="10"/>
      <color rgb="FFFF0000"/>
      <name val="Calibri"/>
    </font>
    <font>
      <sz val="6"/>
      <color theme="1"/>
      <name val="Arial"/>
      <scheme val="minor"/>
    </font>
    <font>
      <b/>
      <sz val="10"/>
      <color rgb="FF000000"/>
      <name val="Calibri"/>
    </font>
    <font>
      <sz val="7"/>
      <color rgb="FF000000"/>
      <name val="Calibri"/>
    </font>
    <font>
      <u/>
      <sz val="6"/>
      <color theme="1"/>
      <name val="Arial"/>
    </font>
    <font>
      <u/>
      <sz val="6"/>
      <color theme="1"/>
      <name val="Arial"/>
      <scheme val="minor"/>
    </font>
    <font>
      <sz val="10"/>
      <color rgb="FF000000"/>
      <name val="Arial"/>
    </font>
    <font>
      <b/>
      <sz val="10"/>
      <color rgb="FF000000"/>
      <name val="Arial"/>
      <scheme val="minor"/>
    </font>
    <font>
      <sz val="6"/>
      <color theme="1"/>
      <name val="Arial"/>
    </font>
    <font>
      <u/>
      <sz val="6"/>
      <color theme="1"/>
      <name val="Arial"/>
    </font>
    <font>
      <b/>
      <sz val="10"/>
      <color rgb="FFFF0000"/>
      <name val="Calibri"/>
    </font>
    <font>
      <sz val="10"/>
      <color rgb="FF222222"/>
      <name val="Arial"/>
    </font>
    <font>
      <u/>
      <sz val="6"/>
      <color theme="1"/>
      <name val="Arial"/>
      <scheme val="minor"/>
    </font>
    <font>
      <u/>
      <sz val="6"/>
      <color theme="1"/>
      <name val="Arial"/>
    </font>
    <font>
      <u/>
      <sz val="6"/>
      <color theme="1"/>
      <name val="Arial"/>
    </font>
    <font>
      <u/>
      <sz val="6"/>
      <color theme="1"/>
      <name val="Arial"/>
      <scheme val="minor"/>
    </font>
    <font>
      <u/>
      <sz val="6"/>
      <color theme="1"/>
      <name val="Arial"/>
      <scheme val="minor"/>
    </font>
    <font>
      <u/>
      <sz val="6"/>
      <color theme="1"/>
      <name val="Arial"/>
      <scheme val="minor"/>
    </font>
    <font>
      <u/>
      <sz val="5"/>
      <color theme="1"/>
      <name val="Arial"/>
    </font>
    <font>
      <u/>
      <sz val="6"/>
      <color theme="1"/>
      <name val="Arial"/>
    </font>
    <font>
      <sz val="10"/>
      <name val="Arial"/>
    </font>
    <font>
      <u/>
      <sz val="6"/>
      <color theme="1"/>
      <name val="Calibri"/>
    </font>
    <font>
      <u/>
      <sz val="6"/>
      <color theme="1"/>
      <name val="Arial"/>
    </font>
    <font>
      <sz val="10"/>
      <color theme="1"/>
      <name val="Calibri"/>
    </font>
    <font>
      <b/>
      <sz val="10"/>
      <color theme="1"/>
      <name val="Calibri"/>
    </font>
    <font>
      <u/>
      <sz val="6"/>
      <color rgb="FF000000"/>
      <name val="Arial"/>
    </font>
    <font>
      <u/>
      <sz val="6"/>
      <color theme="1"/>
      <name val="Arial"/>
      <scheme val="minor"/>
    </font>
    <font>
      <sz val="10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u/>
      <sz val="6"/>
      <color rgb="FF000000"/>
      <name val="Arial"/>
    </font>
    <font>
      <sz val="10"/>
      <color rgb="FF000000"/>
      <name val="Arial"/>
      <scheme val="minor"/>
    </font>
    <font>
      <u/>
      <sz val="6"/>
      <color rgb="FF000000"/>
      <name val="Arial"/>
    </font>
    <font>
      <u/>
      <sz val="6"/>
      <color theme="1"/>
      <name val="Arial"/>
      <scheme val="minor"/>
    </font>
    <font>
      <sz val="7"/>
      <color theme="1"/>
      <name val="Calibri"/>
    </font>
    <font>
      <u/>
      <sz val="7"/>
      <color theme="1"/>
      <name val="Arial"/>
    </font>
    <font>
      <u/>
      <sz val="6"/>
      <color theme="1"/>
      <name val="Arial"/>
    </font>
    <font>
      <u/>
      <sz val="7"/>
      <color theme="1"/>
      <name val="Arial"/>
      <scheme val="minor"/>
    </font>
    <font>
      <u/>
      <sz val="6"/>
      <color theme="1"/>
      <name val="Arial"/>
    </font>
    <font>
      <u/>
      <sz val="6"/>
      <color theme="1"/>
      <name val="Arial"/>
    </font>
    <font>
      <u/>
      <sz val="6"/>
      <color theme="1"/>
      <name val="Arial"/>
    </font>
    <font>
      <b/>
      <u/>
      <sz val="10"/>
      <color theme="1"/>
      <name val="Calibri"/>
    </font>
    <font>
      <b/>
      <u/>
      <sz val="10"/>
      <color theme="1"/>
      <name val="Calibri"/>
    </font>
    <font>
      <u/>
      <sz val="10"/>
      <color rgb="FF000000"/>
      <name val="Calibri"/>
    </font>
    <font>
      <u/>
      <sz val="5"/>
      <color theme="1"/>
      <name val="Arial"/>
    </font>
    <font>
      <u/>
      <sz val="6"/>
      <color theme="1"/>
      <name val="Arial"/>
    </font>
    <font>
      <u/>
      <sz val="5"/>
      <color theme="1"/>
      <name val="Arial"/>
      <scheme val="minor"/>
    </font>
    <font>
      <u/>
      <sz val="6"/>
      <color theme="1"/>
      <name val="Arial"/>
    </font>
    <font>
      <u/>
      <sz val="6"/>
      <color theme="1"/>
      <name val="Arial"/>
    </font>
    <font>
      <u/>
      <sz val="6"/>
      <color theme="1"/>
      <name val="Arial"/>
      <scheme val="minor"/>
    </font>
    <font>
      <u/>
      <sz val="7"/>
      <color theme="1"/>
      <name val="Arial"/>
      <scheme val="minor"/>
    </font>
    <font>
      <sz val="11"/>
      <color theme="1"/>
      <name val="Calibri"/>
    </font>
    <font>
      <b/>
      <sz val="11"/>
      <color theme="1"/>
      <name val="Calibri"/>
    </font>
    <font>
      <u/>
      <sz val="7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B5394"/>
      </bottom>
      <diagonal/>
    </border>
    <border>
      <left style="thin">
        <color rgb="FFEFEFEF"/>
      </left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/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164" fontId="1" fillId="0" borderId="0" xfId="0" applyNumberFormat="1" applyFont="1"/>
    <xf numFmtId="0" fontId="3" fillId="2" borderId="0" xfId="0" applyFont="1" applyFill="1"/>
    <xf numFmtId="0" fontId="4" fillId="2" borderId="0" xfId="0" applyFont="1" applyFill="1"/>
    <xf numFmtId="165" fontId="4" fillId="2" borderId="0" xfId="0" applyNumberFormat="1" applyFont="1" applyFill="1"/>
    <xf numFmtId="0" fontId="4" fillId="0" borderId="0" xfId="0" applyFont="1"/>
    <xf numFmtId="165" fontId="4" fillId="0" borderId="0" xfId="0" applyNumberFormat="1" applyFont="1"/>
    <xf numFmtId="0" fontId="5" fillId="0" borderId="0" xfId="0" applyFont="1"/>
    <xf numFmtId="14" fontId="5" fillId="0" borderId="0" xfId="0" applyNumberFormat="1" applyFont="1" applyAlignment="1">
      <alignment horizontal="right"/>
    </xf>
    <xf numFmtId="0" fontId="4" fillId="0" borderId="2" xfId="0" applyFont="1" applyBorder="1"/>
    <xf numFmtId="165" fontId="4" fillId="0" borderId="2" xfId="0" applyNumberFormat="1" applyFont="1" applyBorder="1"/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3" xfId="0" applyFont="1" applyBorder="1"/>
    <xf numFmtId="0" fontId="1" fillId="0" borderId="4" xfId="0" applyFont="1" applyBorder="1"/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8" fillId="0" borderId="4" xfId="0" applyFont="1" applyBorder="1"/>
    <xf numFmtId="0" fontId="8" fillId="0" borderId="0" xfId="0" applyFont="1"/>
    <xf numFmtId="0" fontId="6" fillId="3" borderId="0" xfId="0" applyFont="1" applyFill="1"/>
    <xf numFmtId="164" fontId="9" fillId="3" borderId="0" xfId="0" applyNumberFormat="1" applyFont="1" applyFill="1" applyAlignment="1">
      <alignment horizontal="right"/>
    </xf>
    <xf numFmtId="164" fontId="9" fillId="3" borderId="0" xfId="0" applyNumberFormat="1" applyFont="1" applyFill="1"/>
    <xf numFmtId="0" fontId="10" fillId="4" borderId="5" xfId="0" applyFont="1" applyFill="1" applyBorder="1" applyAlignment="1">
      <alignment horizontal="center" vertical="center"/>
    </xf>
    <xf numFmtId="0" fontId="11" fillId="4" borderId="4" xfId="0" applyFont="1" applyFill="1" applyBorder="1"/>
    <xf numFmtId="0" fontId="12" fillId="0" borderId="6" xfId="0" applyFont="1" applyBorder="1"/>
    <xf numFmtId="0" fontId="13" fillId="4" borderId="0" xfId="0" applyFont="1" applyFill="1"/>
    <xf numFmtId="164" fontId="13" fillId="4" borderId="0" xfId="0" applyNumberFormat="1" applyFont="1" applyFill="1" applyAlignment="1">
      <alignment horizontal="right"/>
    </xf>
    <xf numFmtId="0" fontId="14" fillId="4" borderId="0" xfId="0" applyFont="1" applyFill="1"/>
    <xf numFmtId="0" fontId="15" fillId="4" borderId="4" xfId="0" applyFont="1" applyFill="1" applyBorder="1"/>
    <xf numFmtId="0" fontId="1" fillId="4" borderId="0" xfId="0" applyFont="1" applyFill="1"/>
    <xf numFmtId="0" fontId="4" fillId="3" borderId="0" xfId="0" applyFont="1" applyFill="1"/>
    <xf numFmtId="0" fontId="16" fillId="4" borderId="4" xfId="0" applyFont="1" applyFill="1" applyBorder="1"/>
    <xf numFmtId="164" fontId="17" fillId="0" borderId="0" xfId="0" applyNumberFormat="1" applyFont="1"/>
    <xf numFmtId="0" fontId="17" fillId="0" borderId="0" xfId="0" applyFont="1"/>
    <xf numFmtId="0" fontId="9" fillId="0" borderId="0" xfId="0" applyFont="1"/>
    <xf numFmtId="0" fontId="1" fillId="0" borderId="6" xfId="0" applyFont="1" applyBorder="1"/>
    <xf numFmtId="0" fontId="8" fillId="0" borderId="6" xfId="0" applyFont="1" applyBorder="1"/>
    <xf numFmtId="0" fontId="6" fillId="4" borderId="0" xfId="0" applyFont="1" applyFill="1"/>
    <xf numFmtId="164" fontId="9" fillId="4" borderId="0" xfId="0" applyNumberFormat="1" applyFont="1" applyFill="1" applyAlignment="1">
      <alignment horizontal="right"/>
    </xf>
    <xf numFmtId="164" fontId="9" fillId="4" borderId="0" xfId="0" applyNumberFormat="1" applyFont="1" applyFill="1"/>
    <xf numFmtId="0" fontId="8" fillId="4" borderId="6" xfId="0" applyFont="1" applyFill="1" applyBorder="1" applyAlignment="1">
      <alignment vertical="center"/>
    </xf>
    <xf numFmtId="0" fontId="18" fillId="0" borderId="0" xfId="0" applyFont="1"/>
    <xf numFmtId="0" fontId="19" fillId="4" borderId="6" xfId="0" applyFont="1" applyFill="1" applyBorder="1" applyAlignment="1">
      <alignment vertical="center"/>
    </xf>
    <xf numFmtId="164" fontId="17" fillId="0" borderId="0" xfId="0" applyNumberFormat="1" applyFont="1" applyAlignment="1">
      <alignment horizontal="right"/>
    </xf>
    <xf numFmtId="0" fontId="20" fillId="4" borderId="0" xfId="0" applyFont="1" applyFill="1"/>
    <xf numFmtId="0" fontId="21" fillId="4" borderId="6" xfId="0" applyFont="1" applyFill="1" applyBorder="1"/>
    <xf numFmtId="0" fontId="22" fillId="0" borderId="0" xfId="0" applyFont="1"/>
    <xf numFmtId="0" fontId="8" fillId="0" borderId="7" xfId="0" applyFont="1" applyBorder="1"/>
    <xf numFmtId="0" fontId="23" fillId="4" borderId="4" xfId="0" applyFont="1" applyFill="1" applyBorder="1" applyAlignment="1">
      <alignment vertical="center"/>
    </xf>
    <xf numFmtId="0" fontId="24" fillId="0" borderId="4" xfId="0" applyFont="1" applyBorder="1"/>
    <xf numFmtId="166" fontId="4" fillId="3" borderId="0" xfId="0" applyNumberFormat="1" applyFont="1" applyFill="1"/>
    <xf numFmtId="0" fontId="9" fillId="3" borderId="0" xfId="0" applyFont="1" applyFill="1"/>
    <xf numFmtId="0" fontId="25" fillId="4" borderId="4" xfId="0" applyFont="1" applyFill="1" applyBorder="1" applyAlignment="1">
      <alignment vertical="center"/>
    </xf>
    <xf numFmtId="0" fontId="28" fillId="0" borderId="4" xfId="0" applyFont="1" applyBorder="1"/>
    <xf numFmtId="164" fontId="9" fillId="0" borderId="0" xfId="0" applyNumberFormat="1" applyFont="1" applyAlignment="1">
      <alignment horizontal="right"/>
    </xf>
    <xf numFmtId="164" fontId="9" fillId="0" borderId="0" xfId="0" applyNumberFormat="1" applyFont="1"/>
    <xf numFmtId="0" fontId="29" fillId="4" borderId="13" xfId="0" applyFont="1" applyFill="1" applyBorder="1"/>
    <xf numFmtId="0" fontId="30" fillId="4" borderId="0" xfId="0" applyFont="1" applyFill="1"/>
    <xf numFmtId="164" fontId="31" fillId="4" borderId="0" xfId="0" applyNumberFormat="1" applyFont="1" applyFill="1" applyAlignment="1">
      <alignment horizontal="right"/>
    </xf>
    <xf numFmtId="0" fontId="32" fillId="4" borderId="6" xfId="0" applyFont="1" applyFill="1" applyBorder="1" applyAlignment="1">
      <alignment horizontal="left" vertical="center"/>
    </xf>
    <xf numFmtId="0" fontId="33" fillId="0" borderId="0" xfId="0" applyFont="1" applyAlignment="1">
      <alignment vertical="center"/>
    </xf>
    <xf numFmtId="0" fontId="34" fillId="4" borderId="0" xfId="0" applyFont="1" applyFill="1"/>
    <xf numFmtId="164" fontId="35" fillId="4" borderId="0" xfId="0" applyNumberFormat="1" applyFont="1" applyFill="1" applyAlignment="1">
      <alignment horizontal="right"/>
    </xf>
    <xf numFmtId="0" fontId="4" fillId="4" borderId="0" xfId="0" applyFont="1" applyFill="1"/>
    <xf numFmtId="0" fontId="9" fillId="4" borderId="0" xfId="0" applyFont="1" applyFill="1"/>
    <xf numFmtId="0" fontId="36" fillId="3" borderId="0" xfId="0" applyFont="1" applyFill="1"/>
    <xf numFmtId="0" fontId="10" fillId="4" borderId="0" xfId="0" applyFont="1" applyFill="1" applyAlignment="1">
      <alignment horizontal="center" vertical="center"/>
    </xf>
    <xf numFmtId="0" fontId="37" fillId="4" borderId="0" xfId="0" applyFont="1" applyFill="1" applyAlignment="1">
      <alignment horizontal="left" vertical="center"/>
    </xf>
    <xf numFmtId="0" fontId="38" fillId="0" borderId="0" xfId="0" applyFont="1"/>
    <xf numFmtId="0" fontId="39" fillId="4" borderId="4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vertical="center"/>
    </xf>
    <xf numFmtId="0" fontId="4" fillId="3" borderId="6" xfId="0" applyFont="1" applyFill="1" applyBorder="1"/>
    <xf numFmtId="164" fontId="9" fillId="3" borderId="6" xfId="0" applyNumberFormat="1" applyFont="1" applyFill="1" applyBorder="1" applyAlignment="1">
      <alignment horizontal="right"/>
    </xf>
    <xf numFmtId="164" fontId="9" fillId="3" borderId="6" xfId="0" applyNumberFormat="1" applyFont="1" applyFill="1" applyBorder="1"/>
    <xf numFmtId="0" fontId="40" fillId="4" borderId="4" xfId="0" applyFont="1" applyFill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164" fontId="5" fillId="3" borderId="0" xfId="0" applyNumberFormat="1" applyFont="1" applyFill="1" applyAlignment="1">
      <alignment horizontal="right" vertical="center"/>
    </xf>
    <xf numFmtId="0" fontId="41" fillId="0" borderId="5" xfId="0" applyFont="1" applyBorder="1" applyAlignment="1">
      <alignment horizontal="center"/>
    </xf>
    <xf numFmtId="0" fontId="42" fillId="4" borderId="4" xfId="0" applyFont="1" applyFill="1" applyBorder="1"/>
    <xf numFmtId="0" fontId="4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 wrapText="1"/>
    </xf>
    <xf numFmtId="164" fontId="5" fillId="3" borderId="4" xfId="0" applyNumberFormat="1" applyFont="1" applyFill="1" applyBorder="1" applyAlignment="1">
      <alignment horizontal="right" vertical="center"/>
    </xf>
    <xf numFmtId="0" fontId="41" fillId="0" borderId="4" xfId="0" applyFont="1" applyBorder="1" applyAlignment="1">
      <alignment horizontal="center"/>
    </xf>
    <xf numFmtId="0" fontId="41" fillId="0" borderId="4" xfId="0" applyFont="1" applyBorder="1" applyAlignment="1">
      <alignment horizontal="center" vertical="center"/>
    </xf>
    <xf numFmtId="0" fontId="43" fillId="4" borderId="14" xfId="0" applyFont="1" applyFill="1" applyBorder="1"/>
    <xf numFmtId="164" fontId="9" fillId="3" borderId="0" xfId="0" applyNumberFormat="1" applyFont="1" applyFill="1" applyAlignment="1">
      <alignment horizontal="right" vertical="center"/>
    </xf>
    <xf numFmtId="164" fontId="9" fillId="3" borderId="0" xfId="0" applyNumberFormat="1" applyFont="1" applyFill="1" applyAlignment="1">
      <alignment vertical="center"/>
    </xf>
    <xf numFmtId="0" fontId="44" fillId="4" borderId="9" xfId="0" applyFont="1" applyFill="1" applyBorder="1" applyAlignment="1">
      <alignment vertical="center"/>
    </xf>
    <xf numFmtId="167" fontId="4" fillId="3" borderId="0" xfId="0" applyNumberFormat="1" applyFont="1" applyFill="1"/>
    <xf numFmtId="164" fontId="5" fillId="3" borderId="0" xfId="0" applyNumberFormat="1" applyFont="1" applyFill="1"/>
    <xf numFmtId="0" fontId="45" fillId="4" borderId="6" xfId="0" applyFont="1" applyFill="1" applyBorder="1"/>
    <xf numFmtId="0" fontId="46" fillId="4" borderId="15" xfId="0" applyFont="1" applyFill="1" applyBorder="1"/>
    <xf numFmtId="0" fontId="15" fillId="4" borderId="6" xfId="0" applyFont="1" applyFill="1" applyBorder="1"/>
    <xf numFmtId="0" fontId="15" fillId="4" borderId="15" xfId="0" applyFont="1" applyFill="1" applyBorder="1"/>
    <xf numFmtId="0" fontId="47" fillId="4" borderId="7" xfId="0" applyFont="1" applyFill="1" applyBorder="1"/>
    <xf numFmtId="167" fontId="4" fillId="4" borderId="0" xfId="0" applyNumberFormat="1" applyFont="1" applyFill="1"/>
    <xf numFmtId="164" fontId="4" fillId="0" borderId="0" xfId="0" applyNumberFormat="1" applyFont="1"/>
    <xf numFmtId="0" fontId="5" fillId="0" borderId="16" xfId="0" applyFont="1" applyBorder="1"/>
    <xf numFmtId="0" fontId="5" fillId="0" borderId="17" xfId="0" applyFont="1" applyBorder="1"/>
    <xf numFmtId="165" fontId="48" fillId="0" borderId="17" xfId="0" applyNumberFormat="1" applyFont="1" applyBorder="1" applyAlignment="1">
      <alignment horizontal="right"/>
    </xf>
    <xf numFmtId="165" fontId="49" fillId="0" borderId="18" xfId="0" applyNumberFormat="1" applyFont="1" applyBorder="1" applyAlignment="1">
      <alignment horizontal="right"/>
    </xf>
    <xf numFmtId="0" fontId="1" fillId="0" borderId="14" xfId="0" applyFont="1" applyBorder="1"/>
    <xf numFmtId="0" fontId="50" fillId="3" borderId="0" xfId="0" applyFont="1" applyFill="1"/>
    <xf numFmtId="0" fontId="51" fillId="4" borderId="6" xfId="0" applyFont="1" applyFill="1" applyBorder="1" applyAlignment="1">
      <alignment vertical="center"/>
    </xf>
    <xf numFmtId="0" fontId="52" fillId="4" borderId="0" xfId="0" applyFont="1" applyFill="1" applyAlignment="1">
      <alignment vertical="center"/>
    </xf>
    <xf numFmtId="0" fontId="53" fillId="0" borderId="6" xfId="0" applyFont="1" applyBorder="1"/>
    <xf numFmtId="0" fontId="1" fillId="0" borderId="19" xfId="0" applyFont="1" applyBorder="1"/>
    <xf numFmtId="166" fontId="6" fillId="4" borderId="0" xfId="0" applyNumberFormat="1" applyFont="1" applyFill="1"/>
    <xf numFmtId="0" fontId="54" fillId="4" borderId="19" xfId="0" applyFont="1" applyFill="1" applyBorder="1"/>
    <xf numFmtId="0" fontId="55" fillId="4" borderId="19" xfId="0" applyFont="1" applyFill="1" applyBorder="1"/>
    <xf numFmtId="0" fontId="2" fillId="0" borderId="19" xfId="0" applyFont="1" applyBorder="1"/>
    <xf numFmtId="0" fontId="30" fillId="3" borderId="0" xfId="0" applyFont="1" applyFill="1"/>
    <xf numFmtId="0" fontId="2" fillId="3" borderId="0" xfId="0" applyFont="1" applyFill="1"/>
    <xf numFmtId="164" fontId="31" fillId="3" borderId="0" xfId="0" applyNumberFormat="1" applyFont="1" applyFill="1" applyAlignment="1">
      <alignment horizontal="right"/>
    </xf>
    <xf numFmtId="0" fontId="2" fillId="0" borderId="0" xfId="0" applyFont="1"/>
    <xf numFmtId="0" fontId="1" fillId="0" borderId="7" xfId="0" applyFont="1" applyBorder="1"/>
    <xf numFmtId="0" fontId="1" fillId="0" borderId="20" xfId="0" applyFont="1" applyBorder="1"/>
    <xf numFmtId="164" fontId="6" fillId="3" borderId="0" xfId="0" applyNumberFormat="1" applyFont="1" applyFill="1" applyAlignment="1">
      <alignment horizontal="right"/>
    </xf>
    <xf numFmtId="0" fontId="3" fillId="4" borderId="0" xfId="0" applyFont="1" applyFill="1"/>
    <xf numFmtId="164" fontId="17" fillId="4" borderId="0" xfId="0" applyNumberFormat="1" applyFont="1" applyFill="1"/>
    <xf numFmtId="0" fontId="17" fillId="4" borderId="0" xfId="0" applyFont="1" applyFill="1"/>
    <xf numFmtId="0" fontId="56" fillId="4" borderId="21" xfId="0" applyFont="1" applyFill="1" applyBorder="1" applyAlignment="1">
      <alignment vertical="center"/>
    </xf>
    <xf numFmtId="0" fontId="57" fillId="4" borderId="4" xfId="0" applyFont="1" applyFill="1" applyBorder="1" applyAlignment="1">
      <alignment vertical="center"/>
    </xf>
    <xf numFmtId="0" fontId="58" fillId="4" borderId="0" xfId="0" applyFont="1" applyFill="1"/>
    <xf numFmtId="164" fontId="59" fillId="4" borderId="0" xfId="0" applyNumberFormat="1" applyFont="1" applyFill="1" applyAlignment="1">
      <alignment horizontal="right"/>
    </xf>
    <xf numFmtId="0" fontId="41" fillId="4" borderId="4" xfId="0" applyFont="1" applyFill="1" applyBorder="1" applyAlignment="1">
      <alignment horizontal="center"/>
    </xf>
    <xf numFmtId="0" fontId="60" fillId="4" borderId="4" xfId="0" applyFont="1" applyFill="1" applyBorder="1"/>
    <xf numFmtId="0" fontId="2" fillId="4" borderId="0" xfId="0" applyFont="1" applyFill="1"/>
    <xf numFmtId="0" fontId="0" fillId="0" borderId="0" xfId="0"/>
    <xf numFmtId="0" fontId="4" fillId="2" borderId="0" xfId="0" applyFont="1" applyFill="1"/>
    <xf numFmtId="0" fontId="10" fillId="4" borderId="8" xfId="0" applyFont="1" applyFill="1" applyBorder="1" applyAlignment="1">
      <alignment horizontal="center" vertical="center"/>
    </xf>
    <xf numFmtId="0" fontId="27" fillId="0" borderId="10" xfId="0" applyFont="1" applyBorder="1"/>
    <xf numFmtId="0" fontId="27" fillId="0" borderId="12" xfId="0" applyFont="1" applyBorder="1"/>
    <xf numFmtId="0" fontId="26" fillId="4" borderId="9" xfId="0" applyFont="1" applyFill="1" applyBorder="1" applyAlignment="1">
      <alignment vertical="center"/>
    </xf>
    <xf numFmtId="0" fontId="27" fillId="0" borderId="11" xfId="0" applyFont="1" applyBorder="1"/>
    <xf numFmtId="0" fontId="27" fillId="0" borderId="7" xfId="0" applyFont="1" applyBorder="1"/>
    <xf numFmtId="0" fontId="5" fillId="0" borderId="0" xfId="0" applyFont="1"/>
    <xf numFmtId="0" fontId="3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Gwc2Uyp9aAzO-8DNb3C-Nx_QEW8WHT91/view?usp=sharing" TargetMode="External"/><Relationship Id="rId18" Type="http://schemas.openxmlformats.org/officeDocument/2006/relationships/hyperlink" Target="https://drive.google.com/file/d/1TUxYLLf7dlIge_AT9cVaGvawppeucvsu/view?usp=sharing" TargetMode="External"/><Relationship Id="rId26" Type="http://schemas.openxmlformats.org/officeDocument/2006/relationships/hyperlink" Target="https://drive.google.com/file/d/1dBfg_0MUKyPBT-iiG5y6AwJTtyj-5_wE/view?usp=sharing" TargetMode="External"/><Relationship Id="rId39" Type="http://schemas.openxmlformats.org/officeDocument/2006/relationships/hyperlink" Target="https://drive.google.com/file/d/1t6OOfrvdKC3EbFKMucT_DaQaQPTYPKT-/view?usp=drive_link" TargetMode="External"/><Relationship Id="rId21" Type="http://schemas.openxmlformats.org/officeDocument/2006/relationships/hyperlink" Target="https://drive.google.com/file/d/1Sxv_ZrH22AJ7aiqffJAofJTnJL5UIeu0/view?usp=sharing" TargetMode="External"/><Relationship Id="rId34" Type="http://schemas.openxmlformats.org/officeDocument/2006/relationships/hyperlink" Target="https://drive.google.com/file/d/1U79Sfh705SzyfjC8IQlraxxK-Vu4aXf_/view?usp=sharing" TargetMode="External"/><Relationship Id="rId42" Type="http://schemas.openxmlformats.org/officeDocument/2006/relationships/hyperlink" Target="https://drive.google.com/file/d/1t6OOfrvdKC3EbFKMucT_DaQaQPTYPKT-/view?usp=drive_link" TargetMode="External"/><Relationship Id="rId47" Type="http://schemas.openxmlformats.org/officeDocument/2006/relationships/hyperlink" Target="https://drive.google.com/file/d/1ozHE4W4e-btS1KnZ6OHUsHEqnAXJwvXv/view?usp=sharing" TargetMode="External"/><Relationship Id="rId50" Type="http://schemas.openxmlformats.org/officeDocument/2006/relationships/hyperlink" Target="https://drive.google.com/file/d/1Vtb4ZhrA5JAugR9gLi8YWYf-N8J3XWB0/view?usp=drive_link" TargetMode="External"/><Relationship Id="rId7" Type="http://schemas.openxmlformats.org/officeDocument/2006/relationships/hyperlink" Target="https://drive.google.com/file/d/1AXbZKBRRPoQ5oAjXJBBHHOJWtQHA6t0d/view?usp=sharing" TargetMode="External"/><Relationship Id="rId2" Type="http://schemas.openxmlformats.org/officeDocument/2006/relationships/hyperlink" Target="https://drive.google.com/file/d/1SQEfAyqsPDhYxHHwEeSEN5d562_gs1XV/view?usp=drive_link" TargetMode="External"/><Relationship Id="rId16" Type="http://schemas.openxmlformats.org/officeDocument/2006/relationships/hyperlink" Target="https://drive.google.com/file/d/1Wh3FJfJSWnz-iacMCm09ICI5Egd94lqX/view?usp=sharing" TargetMode="External"/><Relationship Id="rId29" Type="http://schemas.openxmlformats.org/officeDocument/2006/relationships/hyperlink" Target="https://drive.google.com/file/d/1gfoADhUy_tDSBUM3Ui9fZaT62U0iC6L5/view?usp=sharing" TargetMode="External"/><Relationship Id="rId11" Type="http://schemas.openxmlformats.org/officeDocument/2006/relationships/hyperlink" Target="https://drive.google.com/file/d/1XGMYGvsz7hb75XkUspBf3_nIyK-vzCiM/view?usp=sharing" TargetMode="External"/><Relationship Id="rId24" Type="http://schemas.openxmlformats.org/officeDocument/2006/relationships/hyperlink" Target="https://drive.google.com/file/d/1NZVn9YR99rvNpR231u0Bg_d-fKyG07Qs/view?usp=sharing" TargetMode="External"/><Relationship Id="rId32" Type="http://schemas.openxmlformats.org/officeDocument/2006/relationships/hyperlink" Target="https://drive.google.com/file/d/1Ijxg_AVM4N563hRaSLxxTd7wZRTr74va/view?usp=sharing" TargetMode="External"/><Relationship Id="rId37" Type="http://schemas.openxmlformats.org/officeDocument/2006/relationships/hyperlink" Target="https://drive.google.com/file/d/1jAspOG1cRPMHVKXYgzCDsJeV7An0Z33C/view?usp=sharing" TargetMode="External"/><Relationship Id="rId40" Type="http://schemas.openxmlformats.org/officeDocument/2006/relationships/hyperlink" Target="https://drive.google.com/file/d/1RTy8vKITuaLGLRBOFiyGBt7589s90Sx5/view?usp=sharing" TargetMode="External"/><Relationship Id="rId45" Type="http://schemas.openxmlformats.org/officeDocument/2006/relationships/hyperlink" Target="https://drive.google.com/file/d/1aeY_lDAfQXBtyuMkCisczwjftUIa-_cM/view?usp=sharing" TargetMode="External"/><Relationship Id="rId53" Type="http://schemas.openxmlformats.org/officeDocument/2006/relationships/hyperlink" Target="https://drive.google.com/file/d/19Z5EdWLCvpMO9ZmFCvTZahQZsJZeqD3Q/view?usp=drive_link" TargetMode="External"/><Relationship Id="rId5" Type="http://schemas.openxmlformats.org/officeDocument/2006/relationships/hyperlink" Target="https://drive.google.com/file/d/1y3FM-pAqG0GpYwDmwMJWGc7uJfswvI1V/view?usp=sharing" TargetMode="External"/><Relationship Id="rId10" Type="http://schemas.openxmlformats.org/officeDocument/2006/relationships/hyperlink" Target="https://drive.google.com/file/d/1i2IjqmF81gvtH7g0gACQUTjI_XuqKvl6/view?usp=drive_link" TargetMode="External"/><Relationship Id="rId19" Type="http://schemas.openxmlformats.org/officeDocument/2006/relationships/hyperlink" Target="https://drive.google.com/file/d/1JMOsoWtzVYUYnJTBq9KMS5at46YpHaDR/view?usp=sharing" TargetMode="External"/><Relationship Id="rId31" Type="http://schemas.openxmlformats.org/officeDocument/2006/relationships/hyperlink" Target="https://drive.google.com/file/d/1MYKLWDw8VmCBAUe52RpeO-Gn68DhS8zh/view?usp=sharing" TargetMode="External"/><Relationship Id="rId44" Type="http://schemas.openxmlformats.org/officeDocument/2006/relationships/hyperlink" Target="https://drive.google.com/file/d/1cKYqRgUynYgtVQxagxgG7Rb2vgaZduhw/view?usp=sharing" TargetMode="External"/><Relationship Id="rId52" Type="http://schemas.openxmlformats.org/officeDocument/2006/relationships/hyperlink" Target="https://drive.google.com/file/d/1kDugf5q1jIioOTT_trYWya8S3eIQvEOn/view?usp=drive_link" TargetMode="External"/><Relationship Id="rId4" Type="http://schemas.openxmlformats.org/officeDocument/2006/relationships/hyperlink" Target="https://drive.google.com/file/d/1SQEfAyqsPDhYxHHwEeSEN5d562_gs1XV/view?usp=drive_link" TargetMode="External"/><Relationship Id="rId9" Type="http://schemas.openxmlformats.org/officeDocument/2006/relationships/hyperlink" Target="https://drive.google.com/file/d/1zcRVRUBRiHafA0E2e748tgXColk1xGsc/view?usp=drive_link" TargetMode="External"/><Relationship Id="rId14" Type="http://schemas.openxmlformats.org/officeDocument/2006/relationships/hyperlink" Target="https://drive.google.com/file/d/1K1OGI_1u-Unv1mxU82CmpdoRvNIwWLe4/view?usp=sharing" TargetMode="External"/><Relationship Id="rId22" Type="http://schemas.openxmlformats.org/officeDocument/2006/relationships/hyperlink" Target="https://drive.google.com/file/d/1b8jqABKJos6Q7nLJNWqRmhpqZMmkxFyg/view?usp=sharing" TargetMode="External"/><Relationship Id="rId27" Type="http://schemas.openxmlformats.org/officeDocument/2006/relationships/hyperlink" Target="https://drive.google.com/file/d/1Rq9vLhogSClV--k0008tUTC_AybxExi-/view?usp=drive_link" TargetMode="External"/><Relationship Id="rId30" Type="http://schemas.openxmlformats.org/officeDocument/2006/relationships/hyperlink" Target="https://drive.google.com/file/d/1D0YQuz2sSHLudAZpaPYr30APblFwT9n4/view?usp=sharing" TargetMode="External"/><Relationship Id="rId35" Type="http://schemas.openxmlformats.org/officeDocument/2006/relationships/hyperlink" Target="https://drive.google.com/file/d/1CJLBbB8cL9UkalQH4zsWx446mt-RgzUZ/view?usp=sharing" TargetMode="External"/><Relationship Id="rId43" Type="http://schemas.openxmlformats.org/officeDocument/2006/relationships/hyperlink" Target="https://drive.google.com/file/d/1CwvrOFIR34-CukXnEMHDus9arJ_5G2ES/view?usp=sharing" TargetMode="External"/><Relationship Id="rId48" Type="http://schemas.openxmlformats.org/officeDocument/2006/relationships/hyperlink" Target="https://drive.google.com/file/d/1YInOgAf7rPwQQPZ6isDPiT8mAecrSXF-/view?usp=sharing" TargetMode="External"/><Relationship Id="rId8" Type="http://schemas.openxmlformats.org/officeDocument/2006/relationships/hyperlink" Target="https://drive.google.com/file/d/1sQ_Z8oVi4sGRifCRf_hGCMILr37wdsyp/view?usp=drive_link" TargetMode="External"/><Relationship Id="rId51" Type="http://schemas.openxmlformats.org/officeDocument/2006/relationships/hyperlink" Target="https://drive.google.com/file/d/1jVjkd-e3LwywxlGtmjNoRTjRSNpvJz28/view?usp=sharing" TargetMode="External"/><Relationship Id="rId3" Type="http://schemas.openxmlformats.org/officeDocument/2006/relationships/hyperlink" Target="https://drive.google.com/file/d/1IkvBqmYqAPqN2Wp8gC2YjsJKti_-wI5D/view?usp=sharing" TargetMode="External"/><Relationship Id="rId12" Type="http://schemas.openxmlformats.org/officeDocument/2006/relationships/hyperlink" Target="https://drive.google.com/file/d/1TUxYLLf7dlIge_AT9cVaGvawppeucvsu/view?usp=sharing" TargetMode="External"/><Relationship Id="rId17" Type="http://schemas.openxmlformats.org/officeDocument/2006/relationships/hyperlink" Target="https://drive.google.com/file/d/18yKGMGo0bRfroePgBhCD9-XPGL_X-l5f/view?usp=drive_link" TargetMode="External"/><Relationship Id="rId25" Type="http://schemas.openxmlformats.org/officeDocument/2006/relationships/hyperlink" Target="https://drive.google.com/file/d/1R2SLjLXHm34fSki9relboY39McB2tJw1/view?usp=sharing" TargetMode="External"/><Relationship Id="rId33" Type="http://schemas.openxmlformats.org/officeDocument/2006/relationships/hyperlink" Target="https://drive.google.com/file/d/1PGw81j63SDs-cey0zO6Q_eSgW3fteX8l/view?usp=sharing" TargetMode="External"/><Relationship Id="rId38" Type="http://schemas.openxmlformats.org/officeDocument/2006/relationships/hyperlink" Target="https://drive.google.com/file/d/1SsFD1vf3OsgoqJZxruWRX83T__Wzeh9K/view?usp=drive_link" TargetMode="External"/><Relationship Id="rId46" Type="http://schemas.openxmlformats.org/officeDocument/2006/relationships/hyperlink" Target="https://drive.google.com/file/d/1eWvzXozWMhpA-OOWobS6vTbPlRAyYWFd/view?usp=sharing" TargetMode="External"/><Relationship Id="rId20" Type="http://schemas.openxmlformats.org/officeDocument/2006/relationships/hyperlink" Target="https://drive.google.com/file/d/1w19OFrWOe0yVyV6Xk5zbW5OKtl2zdfk1/view?usp=sharing" TargetMode="External"/><Relationship Id="rId41" Type="http://schemas.openxmlformats.org/officeDocument/2006/relationships/hyperlink" Target="https://drive.google.com/file/d/1dT7GZYh-N7EXeOfrlg-mNpF8dafmMDCM/view?usp=sharing" TargetMode="External"/><Relationship Id="rId1" Type="http://schemas.openxmlformats.org/officeDocument/2006/relationships/hyperlink" Target="https://drive.google.com/file/d/1PITt0CbWf7hJei2OKuDQmS6WGP9okAh_/view?usp=sharing" TargetMode="External"/><Relationship Id="rId6" Type="http://schemas.openxmlformats.org/officeDocument/2006/relationships/hyperlink" Target="https://drive.google.com/file/d/1TGFqt2u-eG1JFajurq0fDQP3vRBWGqNq/view?usp=drive_link" TargetMode="External"/><Relationship Id="rId15" Type="http://schemas.openxmlformats.org/officeDocument/2006/relationships/hyperlink" Target="https://drive.google.com/file/d/1Jee-yTlBfRglt40CIwq0Rl9jW48WhtMI/view?usp=drive_link" TargetMode="External"/><Relationship Id="rId23" Type="http://schemas.openxmlformats.org/officeDocument/2006/relationships/hyperlink" Target="https://drive.google.com/file/d/1ZGVOrjTLPimo5oQPfHVXpJLlDQn7i5rQ/view?usp=drive_link" TargetMode="External"/><Relationship Id="rId28" Type="http://schemas.openxmlformats.org/officeDocument/2006/relationships/hyperlink" Target="https://drive.google.com/file/d/1Go_iA8ceLlS3LlQ2qke0gJdxJmxOAJb3/view?usp=sharing" TargetMode="External"/><Relationship Id="rId36" Type="http://schemas.openxmlformats.org/officeDocument/2006/relationships/hyperlink" Target="https://drive.google.com/file/d/1w0cSOIQimZAtibzHpgbqLmMUwJ2bOnaP/view?usp=sharing" TargetMode="External"/><Relationship Id="rId49" Type="http://schemas.openxmlformats.org/officeDocument/2006/relationships/hyperlink" Target="https://drive.google.com/file/d/1_CPpsqUKPQVjUsa3KCaU3G_YdA2UACmf/view?usp=sharing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r9hxgFjxHyU5Rq8XITr2cm7xybJ4s3Dh/view?usp=sharing" TargetMode="External"/><Relationship Id="rId18" Type="http://schemas.openxmlformats.org/officeDocument/2006/relationships/hyperlink" Target="https://drive.google.com/file/d/1TUxYLLf7dlIge_AT9cVaGvawppeucvsu/view?usp=sharing" TargetMode="External"/><Relationship Id="rId26" Type="http://schemas.openxmlformats.org/officeDocument/2006/relationships/hyperlink" Target="https://drive.google.com/file/d/18yKGMGo0bRfroePgBhCD9-XPGL_X-l5f/view?usp=drive_link" TargetMode="External"/><Relationship Id="rId39" Type="http://schemas.openxmlformats.org/officeDocument/2006/relationships/hyperlink" Target="https://drive.google.com/file/d/1CwvrOFIR34-CukXnEMHDus9arJ_5G2ES/view?usp=sharing" TargetMode="External"/><Relationship Id="rId21" Type="http://schemas.openxmlformats.org/officeDocument/2006/relationships/hyperlink" Target="https://drive.google.com/file/d/1PE4_wSDsD8y_1YLmxqcl_iFaCrZS-fyb/view?usp=sharing" TargetMode="External"/><Relationship Id="rId34" Type="http://schemas.openxmlformats.org/officeDocument/2006/relationships/hyperlink" Target="https://drive.google.com/file/d/15ej2q5zVx4bWp36iQcWaaApH0RGzFg8W/view?usp=drive_link" TargetMode="External"/><Relationship Id="rId42" Type="http://schemas.openxmlformats.org/officeDocument/2006/relationships/hyperlink" Target="https://drive.google.com/file/d/1bAW8oJ0GaMb-JUNnpsunuBgFiinkkYrt/view?usp=sharing" TargetMode="External"/><Relationship Id="rId7" Type="http://schemas.openxmlformats.org/officeDocument/2006/relationships/hyperlink" Target="https://drive.google.com/file/d/1y3FM-pAqG0GpYwDmwMJWGc7uJfswvI1V/view?usp=sharing" TargetMode="External"/><Relationship Id="rId2" Type="http://schemas.openxmlformats.org/officeDocument/2006/relationships/hyperlink" Target="https://drive.google.com/file/d/1cDOeNRlklO7voEqnhkFzUNO2AtxL7aNS/view?usp=sharing" TargetMode="External"/><Relationship Id="rId16" Type="http://schemas.openxmlformats.org/officeDocument/2006/relationships/hyperlink" Target="https://drive.google.com/file/d/1CyZVpNPULU2eQzr23SU8wnklVVmfKgoA/view?usp=sharing" TargetMode="External"/><Relationship Id="rId20" Type="http://schemas.openxmlformats.org/officeDocument/2006/relationships/hyperlink" Target="https://drive.google.com/file/d/1JILd08naDb-9_okJ9p0WPnRygwoAyC_F/view?usp=sharing" TargetMode="External"/><Relationship Id="rId29" Type="http://schemas.openxmlformats.org/officeDocument/2006/relationships/hyperlink" Target="https://drive.google.com/file/d/1Sxv_ZrH22AJ7aiqffJAofJTnJL5UIeu0/view?usp=sharing" TargetMode="External"/><Relationship Id="rId41" Type="http://schemas.openxmlformats.org/officeDocument/2006/relationships/hyperlink" Target="https://drive.google.com/file/d/1cKYqRgUynYgtVQxagxgG7Rb2vgaZduhw/view?usp=sharing" TargetMode="External"/><Relationship Id="rId1" Type="http://schemas.openxmlformats.org/officeDocument/2006/relationships/hyperlink" Target="https://drive.google.com/file/d/1c8nP-PUdw0Of5OZVgQvMBjgNAlNxtEPK/view?usp=drive_link" TargetMode="External"/><Relationship Id="rId6" Type="http://schemas.openxmlformats.org/officeDocument/2006/relationships/hyperlink" Target="https://drive.google.com/file/d/1vlr7mUK9en0r-43TKin_1_k1SrZvBCp2/view?usp=sharing" TargetMode="External"/><Relationship Id="rId11" Type="http://schemas.openxmlformats.org/officeDocument/2006/relationships/hyperlink" Target="https://drive.google.com/file/d/14vCaGx8Ys620jPeNmbUG-o8t8YbYKPli/view?usp=drive_link" TargetMode="External"/><Relationship Id="rId24" Type="http://schemas.openxmlformats.org/officeDocument/2006/relationships/hyperlink" Target="https://drive.google.com/file/d/1ClydGdT_WxNMdw2DqDhy848QpPXn3N4a/view?usp=drive_link" TargetMode="External"/><Relationship Id="rId32" Type="http://schemas.openxmlformats.org/officeDocument/2006/relationships/hyperlink" Target="https://drive.google.com/file/d/1gfoADhUy_tDSBUM3Ui9fZaT62U0iC6L5/view?usp=sharing" TargetMode="External"/><Relationship Id="rId37" Type="http://schemas.openxmlformats.org/officeDocument/2006/relationships/hyperlink" Target="https://drive.google.com/file/d/1dT7GZYh-N7EXeOfrlg-mNpF8dafmMDCM/view?usp=sharing" TargetMode="External"/><Relationship Id="rId40" Type="http://schemas.openxmlformats.org/officeDocument/2006/relationships/hyperlink" Target="https://drive.google.com/file/d/1ZMQ1dnTX0mnPQnkZzC8TQO5OGVjjw3A-/view?usp=sharing" TargetMode="External"/><Relationship Id="rId5" Type="http://schemas.openxmlformats.org/officeDocument/2006/relationships/hyperlink" Target="https://drive.google.com/file/d/1SQEfAyqsPDhYxHHwEeSEN5d562_gs1XV/view?usp=drive_link" TargetMode="External"/><Relationship Id="rId15" Type="http://schemas.openxmlformats.org/officeDocument/2006/relationships/hyperlink" Target="https://drive.google.com/file/d/1zcRVRUBRiHafA0E2e748tgXColk1xGsc/view?usp=drive_link" TargetMode="External"/><Relationship Id="rId23" Type="http://schemas.openxmlformats.org/officeDocument/2006/relationships/hyperlink" Target="https://drive.google.com/file/d/1Wh3FJfJSWnz-iacMCm09ICI5Egd94lqX/view?usp=sharing" TargetMode="External"/><Relationship Id="rId28" Type="http://schemas.openxmlformats.org/officeDocument/2006/relationships/hyperlink" Target="https://drive.google.com/file/d/1NpuYPXvjcsxU3hH0If_b9foUHIQh4ZVl/view?usp=sharing" TargetMode="External"/><Relationship Id="rId36" Type="http://schemas.openxmlformats.org/officeDocument/2006/relationships/hyperlink" Target="https://drive.google.com/file/d/1RTy8vKITuaLGLRBOFiyGBt7589s90Sx5/view?usp=sharing" TargetMode="External"/><Relationship Id="rId10" Type="http://schemas.openxmlformats.org/officeDocument/2006/relationships/hyperlink" Target="https://drive.google.com/file/d/1RFZOD4Iaa2koSNe5TtM5uD33v-ZxLpuv/view?usp=drive_link" TargetMode="External"/><Relationship Id="rId19" Type="http://schemas.openxmlformats.org/officeDocument/2006/relationships/hyperlink" Target="https://drive.google.com/file/d/1X-J1wAJegrAZTakGrHOuCXT0boZnle7B/view?usp=sharing" TargetMode="External"/><Relationship Id="rId31" Type="http://schemas.openxmlformats.org/officeDocument/2006/relationships/hyperlink" Target="https://drive.google.com/file/d/1Go_iA8ceLlS3LlQ2qke0gJdxJmxOAJb3/view?usp=sharing" TargetMode="External"/><Relationship Id="rId4" Type="http://schemas.openxmlformats.org/officeDocument/2006/relationships/hyperlink" Target="https://drive.google.com/file/d/14YQYM_V6_3E77UCPKcPmDpLrEA5xVVL9/view?usp=sharing" TargetMode="External"/><Relationship Id="rId9" Type="http://schemas.openxmlformats.org/officeDocument/2006/relationships/hyperlink" Target="https://drive.google.com/file/d/1RFZOD4Iaa2koSNe5TtM5uD33v-ZxLpuv/view?usp=drive_link" TargetMode="External"/><Relationship Id="rId14" Type="http://schemas.openxmlformats.org/officeDocument/2006/relationships/hyperlink" Target="https://drive.google.com/file/d/1DNMbwFOt6ATIQoV8KuqduPVffGyXOD56/view?usp=drive_link" TargetMode="External"/><Relationship Id="rId22" Type="http://schemas.openxmlformats.org/officeDocument/2006/relationships/hyperlink" Target="https://drive.google.com/file/d/1Jee-yTlBfRglt40CIwq0Rl9jW48WhtMI/view?usp=drive_link" TargetMode="External"/><Relationship Id="rId27" Type="http://schemas.openxmlformats.org/officeDocument/2006/relationships/hyperlink" Target="https://drive.google.com/file/d/1TUxYLLf7dlIge_AT9cVaGvawppeucvsu/view?usp=sharing" TargetMode="External"/><Relationship Id="rId30" Type="http://schemas.openxmlformats.org/officeDocument/2006/relationships/hyperlink" Target="https://drive.google.com/file/d/1bFaxmKi4LM-nR6uqP0xw_U1u4v9F3umB/view?usp=sharing" TargetMode="External"/><Relationship Id="rId35" Type="http://schemas.openxmlformats.org/officeDocument/2006/relationships/hyperlink" Target="https://drive.google.com/file/d/19r9qvfdSA0O4DQS122gMV3AKRTSDcjT3/view?usp=sharing" TargetMode="External"/><Relationship Id="rId43" Type="http://schemas.openxmlformats.org/officeDocument/2006/relationships/hyperlink" Target="https://drive.google.com/file/d/19Z5EdWLCvpMO9ZmFCvTZahQZsJZeqD3Q/view?usp=drive_link" TargetMode="External"/><Relationship Id="rId8" Type="http://schemas.openxmlformats.org/officeDocument/2006/relationships/hyperlink" Target="https://drive.google.com/file/d/1AkHZ81qLhnoia6BKqypAgaZTho9qQxFg/view?usp=drive_link" TargetMode="External"/><Relationship Id="rId3" Type="http://schemas.openxmlformats.org/officeDocument/2006/relationships/hyperlink" Target="https://drive.google.com/file/d/1SQEfAyqsPDhYxHHwEeSEN5d562_gs1XV/view?usp=drive_link" TargetMode="External"/><Relationship Id="rId12" Type="http://schemas.openxmlformats.org/officeDocument/2006/relationships/hyperlink" Target="https://drive.google.com/file/d/1YVknfnl0Ut77jsVJQFQcHw5AkO92Cfdv/view?usp=sharing" TargetMode="External"/><Relationship Id="rId17" Type="http://schemas.openxmlformats.org/officeDocument/2006/relationships/hyperlink" Target="https://drive.google.com/file/d/1i2IjqmF81gvtH7g0gACQUTjI_XuqKvl6/view?usp=drive_link" TargetMode="External"/><Relationship Id="rId25" Type="http://schemas.openxmlformats.org/officeDocument/2006/relationships/hyperlink" Target="https://drive.google.com/file/d/1JWd4v9w1ixrO70LkISckxhGrx7iwVNV2/view?usp=sharing" TargetMode="External"/><Relationship Id="rId33" Type="http://schemas.openxmlformats.org/officeDocument/2006/relationships/hyperlink" Target="https://drive.google.com/file/d/1D0YQuz2sSHLudAZpaPYr30APblFwT9n4/view?usp=sharing" TargetMode="External"/><Relationship Id="rId38" Type="http://schemas.openxmlformats.org/officeDocument/2006/relationships/hyperlink" Target="https://drive.google.com/file/d/1t6OOfrvdKC3EbFKMucT_DaQaQPTYPKT-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5"/>
  <sheetViews>
    <sheetView workbookViewId="0">
      <selection activeCell="C7" sqref="C7"/>
    </sheetView>
  </sheetViews>
  <sheetFormatPr baseColWidth="10" defaultColWidth="12.6640625" defaultRowHeight="15.75" customHeight="1"/>
  <cols>
    <col min="1" max="1" width="40.33203125" customWidth="1"/>
    <col min="2" max="2" width="43.1640625" customWidth="1"/>
    <col min="3" max="3" width="19.1640625" customWidth="1"/>
    <col min="4" max="4" width="19.83203125" customWidth="1"/>
    <col min="5" max="5" width="20" customWidth="1"/>
    <col min="6" max="6" width="17.6640625" customWidth="1"/>
    <col min="7" max="7" width="18.83203125" customWidth="1"/>
  </cols>
  <sheetData>
    <row r="1" spans="1:25">
      <c r="A1" s="2" t="s">
        <v>0</v>
      </c>
      <c r="B1" s="3"/>
      <c r="C1" s="4"/>
      <c r="D1" s="132"/>
      <c r="E1" s="131"/>
    </row>
    <row r="2" spans="1:25">
      <c r="A2" s="5"/>
      <c r="B2" s="5"/>
      <c r="C2" s="6"/>
      <c r="D2" s="5"/>
      <c r="E2" s="5"/>
    </row>
    <row r="3" spans="1:25">
      <c r="A3" s="7" t="s">
        <v>1</v>
      </c>
      <c r="B3" s="5"/>
      <c r="C3" s="8">
        <f ca="1">TODAY()</f>
        <v>46105</v>
      </c>
      <c r="D3" s="5"/>
      <c r="E3" s="5"/>
    </row>
    <row r="4" spans="1:25">
      <c r="A4" s="9"/>
      <c r="B4" s="9"/>
      <c r="C4" s="10"/>
      <c r="D4" s="5"/>
      <c r="E4" s="5"/>
    </row>
    <row r="5" spans="1:25">
      <c r="A5" s="11" t="s">
        <v>2</v>
      </c>
      <c r="B5" s="12" t="s">
        <v>3</v>
      </c>
      <c r="C5" s="12" t="s">
        <v>4</v>
      </c>
      <c r="D5" s="13" t="s">
        <v>5</v>
      </c>
      <c r="E5" s="13" t="s">
        <v>6</v>
      </c>
      <c r="F5" s="13" t="s">
        <v>7</v>
      </c>
    </row>
    <row r="6" spans="1:25">
      <c r="A6" s="14"/>
      <c r="B6" s="5"/>
      <c r="C6" s="5"/>
      <c r="D6" s="5"/>
      <c r="E6" s="5"/>
      <c r="G6" s="15"/>
    </row>
    <row r="7" spans="1:25">
      <c r="A7" s="2" t="s">
        <v>8</v>
      </c>
      <c r="B7" s="5"/>
      <c r="C7" s="16"/>
      <c r="D7" s="17"/>
      <c r="E7" s="18"/>
      <c r="G7" s="19"/>
      <c r="H7" s="20"/>
    </row>
    <row r="8" spans="1:25">
      <c r="A8" s="21" t="s">
        <v>9</v>
      </c>
      <c r="B8" s="21"/>
      <c r="C8" s="22" t="e">
        <f>#REF!</f>
        <v>#REF!</v>
      </c>
      <c r="D8" s="22">
        <v>0</v>
      </c>
      <c r="E8" s="23" t="e">
        <f t="shared" ref="E8:E9" si="0">C8+D8</f>
        <v>#REF!</v>
      </c>
      <c r="F8" s="24" t="s">
        <v>10</v>
      </c>
      <c r="G8" s="25" t="s">
        <v>11</v>
      </c>
      <c r="H8" s="26" t="s">
        <v>12</v>
      </c>
      <c r="I8" s="27"/>
      <c r="J8" s="27"/>
      <c r="K8" s="28"/>
      <c r="L8" s="28"/>
      <c r="M8" s="29"/>
      <c r="N8" s="24"/>
      <c r="O8" s="30"/>
      <c r="P8" s="30"/>
      <c r="Q8" s="27"/>
      <c r="R8" s="27"/>
      <c r="S8" s="28"/>
      <c r="T8" s="28"/>
      <c r="U8" s="29"/>
      <c r="V8" s="24"/>
      <c r="W8" s="30"/>
      <c r="X8" s="30"/>
      <c r="Y8" s="31"/>
    </row>
    <row r="9" spans="1:25">
      <c r="A9" s="32" t="s">
        <v>13</v>
      </c>
      <c r="B9" s="32"/>
      <c r="C9" s="22">
        <v>200</v>
      </c>
      <c r="D9" s="22">
        <v>0</v>
      </c>
      <c r="E9" s="23">
        <f t="shared" si="0"/>
        <v>200</v>
      </c>
      <c r="F9" s="24" t="s">
        <v>14</v>
      </c>
      <c r="G9" s="33" t="s">
        <v>15</v>
      </c>
      <c r="H9" s="20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spans="1:25">
      <c r="A10" s="5"/>
      <c r="B10" s="5"/>
      <c r="C10" s="34"/>
      <c r="D10" s="35"/>
      <c r="E10" s="36"/>
      <c r="G10" s="19"/>
      <c r="H10" s="20"/>
    </row>
    <row r="11" spans="1:25">
      <c r="A11" s="2" t="s">
        <v>16</v>
      </c>
      <c r="B11" s="5"/>
      <c r="C11" s="34"/>
      <c r="D11" s="35"/>
      <c r="E11" s="36"/>
      <c r="G11" s="20"/>
      <c r="H11" s="20"/>
    </row>
    <row r="12" spans="1:25">
      <c r="A12" s="21" t="s">
        <v>17</v>
      </c>
      <c r="B12" s="21"/>
      <c r="C12" s="22" t="e">
        <f>#REF!/2</f>
        <v>#REF!</v>
      </c>
      <c r="D12" s="22">
        <v>0</v>
      </c>
      <c r="E12" s="23" t="e">
        <f>C12+D12</f>
        <v>#REF!</v>
      </c>
      <c r="F12" s="24" t="s">
        <v>14</v>
      </c>
      <c r="G12" s="26" t="s">
        <v>12</v>
      </c>
    </row>
    <row r="13" spans="1:25">
      <c r="A13" s="5"/>
      <c r="B13" s="5"/>
      <c r="C13" s="34"/>
      <c r="D13" s="35"/>
      <c r="E13" s="36"/>
      <c r="G13" s="37"/>
    </row>
    <row r="14" spans="1:25">
      <c r="A14" s="2" t="s">
        <v>18</v>
      </c>
      <c r="B14" s="5"/>
      <c r="C14" s="34"/>
      <c r="D14" s="35"/>
      <c r="E14" s="36"/>
      <c r="G14" s="38"/>
    </row>
    <row r="15" spans="1:25">
      <c r="A15" s="39" t="s">
        <v>19</v>
      </c>
      <c r="B15" s="39"/>
      <c r="C15" s="40">
        <f>I17/2</f>
        <v>0</v>
      </c>
      <c r="D15" s="40">
        <v>0</v>
      </c>
      <c r="E15" s="41">
        <f>C15+D15</f>
        <v>0</v>
      </c>
      <c r="F15" s="24" t="s">
        <v>20</v>
      </c>
      <c r="G15" s="42"/>
      <c r="I15" s="43"/>
    </row>
    <row r="16" spans="1:25">
      <c r="A16" s="32" t="s">
        <v>21</v>
      </c>
      <c r="B16" s="32"/>
      <c r="C16" s="22">
        <f>(210+1200*23)/2</f>
        <v>13905</v>
      </c>
      <c r="D16" s="22">
        <v>0</v>
      </c>
      <c r="E16" s="23">
        <f>C16/2</f>
        <v>6952.5</v>
      </c>
      <c r="F16" s="24" t="s">
        <v>14</v>
      </c>
      <c r="G16" s="44" t="s">
        <v>22</v>
      </c>
      <c r="I16" s="43"/>
    </row>
    <row r="17" spans="1:9">
      <c r="A17" s="5"/>
      <c r="B17" s="5"/>
      <c r="C17" s="45"/>
      <c r="D17" s="34"/>
      <c r="E17" s="36"/>
      <c r="G17" s="37"/>
      <c r="I17" s="1"/>
    </row>
    <row r="18" spans="1:9">
      <c r="A18" s="5"/>
      <c r="B18" s="5"/>
      <c r="C18" s="34"/>
      <c r="D18" s="35"/>
      <c r="E18" s="36"/>
      <c r="G18" s="37"/>
    </row>
    <row r="19" spans="1:9">
      <c r="A19" s="2" t="s">
        <v>23</v>
      </c>
      <c r="B19" s="5"/>
      <c r="C19" s="34"/>
      <c r="D19" s="35"/>
      <c r="E19" s="36"/>
      <c r="G19" s="38"/>
    </row>
    <row r="20" spans="1:9">
      <c r="A20" s="21" t="s">
        <v>24</v>
      </c>
      <c r="B20" s="21"/>
      <c r="C20" s="23" t="e">
        <f>#REF!</f>
        <v>#REF!</v>
      </c>
      <c r="D20" s="22">
        <v>0</v>
      </c>
      <c r="E20" s="23" t="e">
        <f t="shared" ref="E20:E21" si="1">C20+D20</f>
        <v>#REF!</v>
      </c>
      <c r="F20" s="24" t="s">
        <v>14</v>
      </c>
      <c r="G20" s="46" t="s">
        <v>25</v>
      </c>
    </row>
    <row r="21" spans="1:9">
      <c r="A21" s="21" t="s">
        <v>26</v>
      </c>
      <c r="B21" s="21"/>
      <c r="C21" s="23">
        <v>1367</v>
      </c>
      <c r="D21" s="22">
        <v>0</v>
      </c>
      <c r="E21" s="23">
        <f t="shared" si="1"/>
        <v>1367</v>
      </c>
      <c r="F21" s="24" t="s">
        <v>14</v>
      </c>
      <c r="G21" s="47" t="s">
        <v>27</v>
      </c>
      <c r="H21" s="48" t="s">
        <v>28</v>
      </c>
    </row>
    <row r="22" spans="1:9">
      <c r="A22" s="5"/>
      <c r="B22" s="5"/>
      <c r="C22" s="34"/>
      <c r="D22" s="35"/>
      <c r="E22" s="36"/>
      <c r="G22" s="38"/>
    </row>
    <row r="23" spans="1:9">
      <c r="A23" s="2" t="s">
        <v>29</v>
      </c>
      <c r="B23" s="5"/>
      <c r="C23" s="34"/>
      <c r="D23" s="35"/>
      <c r="E23" s="36"/>
      <c r="G23" s="49"/>
    </row>
    <row r="24" spans="1:9">
      <c r="A24" s="21" t="s">
        <v>30</v>
      </c>
      <c r="B24" s="21" t="s">
        <v>31</v>
      </c>
      <c r="C24" s="22">
        <f>3280/2</f>
        <v>1640</v>
      </c>
      <c r="D24" s="23">
        <f t="shared" ref="D24:D26" si="2">C24*0.06</f>
        <v>98.399999999999991</v>
      </c>
      <c r="E24" s="23">
        <f t="shared" ref="E24:E27" si="3">C24+D24</f>
        <v>1738.4</v>
      </c>
      <c r="F24" s="24" t="s">
        <v>14</v>
      </c>
      <c r="G24" s="48" t="s">
        <v>32</v>
      </c>
    </row>
    <row r="25" spans="1:9">
      <c r="A25" s="32" t="s">
        <v>33</v>
      </c>
      <c r="B25" s="21" t="s">
        <v>34</v>
      </c>
      <c r="C25" s="22">
        <f>2867.92/2</f>
        <v>1433.96</v>
      </c>
      <c r="D25" s="23">
        <f t="shared" si="2"/>
        <v>86.037599999999998</v>
      </c>
      <c r="E25" s="23">
        <f t="shared" si="3"/>
        <v>1519.9976000000001</v>
      </c>
      <c r="F25" s="24" t="s">
        <v>14</v>
      </c>
      <c r="G25" s="50" t="s">
        <v>35</v>
      </c>
    </row>
    <row r="26" spans="1:9">
      <c r="A26" s="21" t="s">
        <v>36</v>
      </c>
      <c r="B26" s="21"/>
      <c r="C26" s="23">
        <f>400</f>
        <v>400</v>
      </c>
      <c r="D26" s="23">
        <f t="shared" si="2"/>
        <v>24</v>
      </c>
      <c r="E26" s="23">
        <f t="shared" si="3"/>
        <v>424</v>
      </c>
      <c r="F26" s="24" t="s">
        <v>14</v>
      </c>
      <c r="G26" s="51" t="s">
        <v>32</v>
      </c>
    </row>
    <row r="27" spans="1:9">
      <c r="A27" s="21" t="s">
        <v>37</v>
      </c>
      <c r="B27" s="21" t="s">
        <v>38</v>
      </c>
      <c r="C27" s="23">
        <v>89.45</v>
      </c>
      <c r="D27" s="23">
        <v>0</v>
      </c>
      <c r="E27" s="23">
        <f t="shared" si="3"/>
        <v>89.45</v>
      </c>
      <c r="F27" s="24" t="s">
        <v>14</v>
      </c>
      <c r="G27" s="51" t="s">
        <v>39</v>
      </c>
    </row>
    <row r="28" spans="1:9">
      <c r="A28" s="5"/>
      <c r="B28" s="5"/>
      <c r="C28" s="34"/>
      <c r="D28" s="35"/>
      <c r="E28" s="36"/>
      <c r="G28" s="19"/>
    </row>
    <row r="29" spans="1:9">
      <c r="A29" s="2" t="s">
        <v>40</v>
      </c>
      <c r="B29" s="5"/>
      <c r="C29" s="34"/>
      <c r="D29" s="35"/>
      <c r="E29" s="36"/>
      <c r="G29" s="19"/>
    </row>
    <row r="30" spans="1:9">
      <c r="A30" s="32" t="s">
        <v>41</v>
      </c>
      <c r="B30" s="52" t="s">
        <v>42</v>
      </c>
      <c r="C30" s="22">
        <v>20000</v>
      </c>
      <c r="D30" s="23">
        <f t="shared" ref="D30:D32" si="4">C30*0.23</f>
        <v>4600</v>
      </c>
      <c r="E30" s="23">
        <f>C30+D30</f>
        <v>24600</v>
      </c>
      <c r="F30" s="24" t="s">
        <v>43</v>
      </c>
      <c r="G30" s="51" t="s">
        <v>44</v>
      </c>
    </row>
    <row r="31" spans="1:9">
      <c r="A31" s="32" t="s">
        <v>45</v>
      </c>
      <c r="B31" s="21"/>
      <c r="C31" s="22">
        <v>523.91999999999996</v>
      </c>
      <c r="D31" s="23">
        <f t="shared" si="4"/>
        <v>120.5016</v>
      </c>
      <c r="E31" s="53">
        <v>644.41999999999996</v>
      </c>
      <c r="F31" s="24" t="s">
        <v>14</v>
      </c>
      <c r="G31" s="54" t="s">
        <v>46</v>
      </c>
    </row>
    <row r="32" spans="1:9">
      <c r="A32" s="21" t="s">
        <v>47</v>
      </c>
      <c r="B32" s="21" t="s">
        <v>48</v>
      </c>
      <c r="C32" s="22">
        <f>3225.57/2</f>
        <v>1612.7850000000001</v>
      </c>
      <c r="D32" s="23">
        <f t="shared" si="4"/>
        <v>370.94055000000003</v>
      </c>
      <c r="E32" s="23">
        <f t="shared" ref="E32:E33" si="5">C32+D32</f>
        <v>1983.7255500000001</v>
      </c>
      <c r="F32" s="24" t="s">
        <v>43</v>
      </c>
      <c r="G32" s="33" t="s">
        <v>49</v>
      </c>
    </row>
    <row r="33" spans="1:11">
      <c r="A33" s="32" t="s">
        <v>50</v>
      </c>
      <c r="B33" s="32"/>
      <c r="C33" s="22">
        <f>250/2</f>
        <v>125</v>
      </c>
      <c r="D33" s="23">
        <v>0</v>
      </c>
      <c r="E33" s="23">
        <f t="shared" si="5"/>
        <v>125</v>
      </c>
      <c r="F33" s="24" t="s">
        <v>43</v>
      </c>
      <c r="G33" s="33" t="s">
        <v>51</v>
      </c>
    </row>
    <row r="34" spans="1:11">
      <c r="A34" s="5"/>
      <c r="B34" s="5"/>
      <c r="C34" s="34"/>
      <c r="D34" s="35"/>
      <c r="E34" s="36"/>
      <c r="G34" s="15"/>
    </row>
    <row r="35" spans="1:11">
      <c r="A35" s="2" t="s">
        <v>52</v>
      </c>
      <c r="B35" s="5"/>
      <c r="C35" s="34"/>
      <c r="D35" s="35"/>
      <c r="E35" s="36"/>
      <c r="G35" s="15"/>
    </row>
    <row r="36" spans="1:11">
      <c r="A36" s="21" t="s">
        <v>53</v>
      </c>
      <c r="B36" s="21" t="s">
        <v>54</v>
      </c>
      <c r="C36" s="22">
        <v>1343.97</v>
      </c>
      <c r="D36" s="23">
        <v>0</v>
      </c>
      <c r="E36" s="23">
        <f t="shared" ref="E36:E39" si="6">C36+D36</f>
        <v>1343.97</v>
      </c>
      <c r="F36" s="133" t="s">
        <v>43</v>
      </c>
      <c r="G36" s="136" t="s">
        <v>55</v>
      </c>
    </row>
    <row r="37" spans="1:11">
      <c r="A37" s="32" t="s">
        <v>56</v>
      </c>
      <c r="B37" s="21"/>
      <c r="C37" s="23">
        <v>450</v>
      </c>
      <c r="D37" s="23">
        <v>0</v>
      </c>
      <c r="E37" s="23">
        <f t="shared" si="6"/>
        <v>450</v>
      </c>
      <c r="F37" s="134"/>
      <c r="G37" s="137"/>
    </row>
    <row r="38" spans="1:11">
      <c r="A38" s="32" t="s">
        <v>57</v>
      </c>
      <c r="B38" s="21"/>
      <c r="C38" s="23">
        <v>350</v>
      </c>
      <c r="D38" s="23">
        <v>0</v>
      </c>
      <c r="E38" s="23">
        <f t="shared" si="6"/>
        <v>350</v>
      </c>
      <c r="F38" s="135"/>
      <c r="G38" s="138"/>
    </row>
    <row r="39" spans="1:11">
      <c r="A39" s="32" t="s">
        <v>58</v>
      </c>
      <c r="B39" s="21"/>
      <c r="C39" s="23">
        <v>89.43</v>
      </c>
      <c r="D39" s="23">
        <v>0</v>
      </c>
      <c r="E39" s="23">
        <f t="shared" si="6"/>
        <v>89.43</v>
      </c>
      <c r="F39" s="24" t="s">
        <v>14</v>
      </c>
      <c r="G39" s="55" t="s">
        <v>39</v>
      </c>
    </row>
    <row r="40" spans="1:11">
      <c r="A40" s="5"/>
      <c r="B40" s="5"/>
      <c r="C40" s="34"/>
      <c r="D40" s="35"/>
      <c r="E40" s="36"/>
    </row>
    <row r="41" spans="1:11">
      <c r="A41" s="2" t="s">
        <v>59</v>
      </c>
      <c r="B41" s="5"/>
      <c r="C41" s="34"/>
      <c r="D41" s="35"/>
      <c r="E41" s="36"/>
      <c r="G41" s="15"/>
    </row>
    <row r="42" spans="1:11">
      <c r="A42" s="18" t="s">
        <v>60</v>
      </c>
      <c r="B42" s="18" t="s">
        <v>61</v>
      </c>
      <c r="C42" s="56">
        <f>500+500+150+120+150</f>
        <v>1420</v>
      </c>
      <c r="D42" s="57">
        <f t="shared" ref="D42:D43" si="7">C42*0.23</f>
        <v>326.60000000000002</v>
      </c>
      <c r="E42" s="57">
        <f t="shared" ref="E42:E43" si="8">C42+D42</f>
        <v>1746.6</v>
      </c>
      <c r="F42" s="24"/>
      <c r="G42" s="33" t="s">
        <v>62</v>
      </c>
    </row>
    <row r="43" spans="1:11">
      <c r="A43" s="5" t="s">
        <v>63</v>
      </c>
      <c r="B43" s="5"/>
      <c r="C43" s="57">
        <f>120*2</f>
        <v>240</v>
      </c>
      <c r="D43" s="57">
        <f t="shared" si="7"/>
        <v>55.2</v>
      </c>
      <c r="E43" s="57">
        <f t="shared" si="8"/>
        <v>295.2</v>
      </c>
      <c r="F43" s="24" t="s">
        <v>43</v>
      </c>
      <c r="G43" s="58" t="s">
        <v>64</v>
      </c>
    </row>
    <row r="44" spans="1:11">
      <c r="A44" s="5"/>
      <c r="B44" s="5"/>
      <c r="C44" s="34"/>
      <c r="D44" s="35"/>
      <c r="E44" s="36"/>
    </row>
    <row r="45" spans="1:11">
      <c r="A45" s="2" t="s">
        <v>65</v>
      </c>
      <c r="B45" s="5"/>
      <c r="C45" s="34"/>
      <c r="D45" s="35"/>
      <c r="E45" s="36"/>
    </row>
    <row r="46" spans="1:11">
      <c r="A46" s="21" t="s">
        <v>66</v>
      </c>
      <c r="B46" s="21" t="s">
        <v>67</v>
      </c>
      <c r="C46" s="22">
        <v>714.49</v>
      </c>
      <c r="D46" s="23">
        <f>C46*0.23</f>
        <v>164.33270000000002</v>
      </c>
      <c r="E46" s="23">
        <f>C46+D46</f>
        <v>878.82270000000005</v>
      </c>
      <c r="F46" s="24" t="s">
        <v>14</v>
      </c>
      <c r="G46" s="48" t="s">
        <v>68</v>
      </c>
    </row>
    <row r="47" spans="1:11">
      <c r="A47" s="5"/>
      <c r="B47" s="5"/>
      <c r="C47" s="34"/>
      <c r="D47" s="35"/>
      <c r="E47" s="36"/>
      <c r="G47" s="37"/>
      <c r="I47" s="20"/>
      <c r="J47" s="20"/>
      <c r="K47" s="20"/>
    </row>
    <row r="48" spans="1:11">
      <c r="A48" s="2" t="s">
        <v>69</v>
      </c>
      <c r="B48" s="5"/>
      <c r="C48" s="34"/>
      <c r="D48" s="35"/>
      <c r="E48" s="36"/>
      <c r="G48" s="37"/>
      <c r="I48" s="20"/>
      <c r="J48" s="20"/>
      <c r="K48" s="20"/>
    </row>
    <row r="49" spans="1:11">
      <c r="A49" s="59" t="s">
        <v>70</v>
      </c>
      <c r="B49" s="59" t="s">
        <v>71</v>
      </c>
      <c r="C49" s="60">
        <f>18500</f>
        <v>18500</v>
      </c>
      <c r="D49" s="60">
        <f t="shared" ref="D49:D58" si="9">C49*0.23</f>
        <v>4255</v>
      </c>
      <c r="E49" s="60">
        <f t="shared" ref="E49:E65" si="10">C49+D49</f>
        <v>22755</v>
      </c>
      <c r="F49" s="24" t="s">
        <v>14</v>
      </c>
      <c r="G49" s="61" t="s">
        <v>72</v>
      </c>
      <c r="H49" s="62" t="s">
        <v>73</v>
      </c>
      <c r="I49" s="48" t="s">
        <v>74</v>
      </c>
      <c r="J49" s="48" t="s">
        <v>75</v>
      </c>
      <c r="K49" s="20"/>
    </row>
    <row r="50" spans="1:11">
      <c r="A50" s="63" t="s">
        <v>76</v>
      </c>
      <c r="B50" s="63" t="s">
        <v>77</v>
      </c>
      <c r="C50" s="64">
        <v>36.47</v>
      </c>
      <c r="D50" s="60">
        <f t="shared" si="9"/>
        <v>8.3880999999999997</v>
      </c>
      <c r="E50" s="60">
        <f t="shared" si="10"/>
        <v>44.8581</v>
      </c>
      <c r="F50" s="24" t="s">
        <v>14</v>
      </c>
      <c r="G50" s="48" t="s">
        <v>78</v>
      </c>
      <c r="I50" s="20"/>
      <c r="J50" s="20"/>
      <c r="K50" s="20"/>
    </row>
    <row r="51" spans="1:11">
      <c r="A51" s="63" t="s">
        <v>79</v>
      </c>
      <c r="B51" s="63" t="s">
        <v>77</v>
      </c>
      <c r="C51" s="64">
        <f>125.1</f>
        <v>125.1</v>
      </c>
      <c r="D51" s="60">
        <f t="shared" si="9"/>
        <v>28.773</v>
      </c>
      <c r="E51" s="60">
        <f t="shared" si="10"/>
        <v>153.87299999999999</v>
      </c>
      <c r="F51" s="24" t="s">
        <v>14</v>
      </c>
      <c r="G51" s="37"/>
      <c r="I51" s="20"/>
      <c r="J51" s="20"/>
      <c r="K51" s="20"/>
    </row>
    <row r="52" spans="1:11">
      <c r="A52" s="63" t="s">
        <v>80</v>
      </c>
      <c r="B52" s="63" t="s">
        <v>77</v>
      </c>
      <c r="C52" s="64">
        <f>1860</f>
        <v>1860</v>
      </c>
      <c r="D52" s="64">
        <f t="shared" si="9"/>
        <v>427.8</v>
      </c>
      <c r="E52" s="64">
        <f t="shared" si="10"/>
        <v>2287.8000000000002</v>
      </c>
      <c r="F52" s="24" t="s">
        <v>14</v>
      </c>
      <c r="G52" s="37"/>
    </row>
    <row r="53" spans="1:11">
      <c r="A53" s="63" t="s">
        <v>81</v>
      </c>
      <c r="B53" s="63" t="s">
        <v>77</v>
      </c>
      <c r="C53" s="64">
        <v>280</v>
      </c>
      <c r="D53" s="64">
        <f t="shared" si="9"/>
        <v>64.400000000000006</v>
      </c>
      <c r="E53" s="64">
        <f t="shared" si="10"/>
        <v>344.4</v>
      </c>
      <c r="F53" s="24" t="s">
        <v>14</v>
      </c>
      <c r="G53" s="38"/>
    </row>
    <row r="54" spans="1:11">
      <c r="A54" s="63" t="s">
        <v>82</v>
      </c>
      <c r="B54" s="63" t="s">
        <v>77</v>
      </c>
      <c r="C54" s="64">
        <v>350</v>
      </c>
      <c r="D54" s="64">
        <f t="shared" si="9"/>
        <v>80.5</v>
      </c>
      <c r="E54" s="64">
        <f t="shared" si="10"/>
        <v>430.5</v>
      </c>
      <c r="F54" s="24" t="s">
        <v>14</v>
      </c>
      <c r="G54" s="38"/>
    </row>
    <row r="55" spans="1:11">
      <c r="A55" s="63" t="s">
        <v>83</v>
      </c>
      <c r="B55" s="63" t="s">
        <v>77</v>
      </c>
      <c r="C55" s="64">
        <v>360</v>
      </c>
      <c r="D55" s="64">
        <f t="shared" si="9"/>
        <v>82.8</v>
      </c>
      <c r="E55" s="64">
        <f t="shared" si="10"/>
        <v>442.8</v>
      </c>
      <c r="F55" s="24" t="s">
        <v>14</v>
      </c>
      <c r="G55" s="38"/>
    </row>
    <row r="56" spans="1:11">
      <c r="A56" s="63" t="s">
        <v>84</v>
      </c>
      <c r="B56" s="63" t="s">
        <v>77</v>
      </c>
      <c r="C56" s="64">
        <v>170</v>
      </c>
      <c r="D56" s="64">
        <f t="shared" si="9"/>
        <v>39.1</v>
      </c>
      <c r="E56" s="64">
        <f t="shared" si="10"/>
        <v>209.1</v>
      </c>
      <c r="F56" s="24" t="s">
        <v>14</v>
      </c>
      <c r="G56" s="38"/>
    </row>
    <row r="57" spans="1:11">
      <c r="A57" s="63" t="s">
        <v>85</v>
      </c>
      <c r="B57" s="63" t="s">
        <v>77</v>
      </c>
      <c r="C57" s="64">
        <v>392</v>
      </c>
      <c r="D57" s="64">
        <f t="shared" si="9"/>
        <v>90.160000000000011</v>
      </c>
      <c r="E57" s="64">
        <f t="shared" si="10"/>
        <v>482.16</v>
      </c>
      <c r="F57" s="24" t="s">
        <v>14</v>
      </c>
      <c r="G57" s="38"/>
    </row>
    <row r="58" spans="1:11">
      <c r="A58" s="63" t="s">
        <v>86</v>
      </c>
      <c r="B58" s="63" t="s">
        <v>77</v>
      </c>
      <c r="C58" s="64">
        <f>1296</f>
        <v>1296</v>
      </c>
      <c r="D58" s="64">
        <f t="shared" si="9"/>
        <v>298.08000000000004</v>
      </c>
      <c r="E58" s="64">
        <f t="shared" si="10"/>
        <v>1594.08</v>
      </c>
      <c r="F58" s="24" t="s">
        <v>14</v>
      </c>
      <c r="G58" s="38"/>
    </row>
    <row r="59" spans="1:11">
      <c r="A59" s="65" t="s">
        <v>87</v>
      </c>
      <c r="B59" s="65"/>
      <c r="C59" s="41">
        <v>26</v>
      </c>
      <c r="D59" s="66">
        <v>5.98</v>
      </c>
      <c r="E59" s="41">
        <f t="shared" si="10"/>
        <v>31.98</v>
      </c>
      <c r="F59" s="24" t="s">
        <v>14</v>
      </c>
      <c r="G59" s="26" t="s">
        <v>88</v>
      </c>
    </row>
    <row r="60" spans="1:11">
      <c r="A60" s="5"/>
      <c r="B60" s="5"/>
      <c r="C60" s="34"/>
      <c r="D60" s="35"/>
      <c r="E60" s="57">
        <f t="shared" si="10"/>
        <v>0</v>
      </c>
      <c r="G60" s="37"/>
    </row>
    <row r="61" spans="1:11">
      <c r="A61" s="2" t="s">
        <v>89</v>
      </c>
      <c r="B61" s="5"/>
      <c r="C61" s="34"/>
      <c r="D61" s="35"/>
      <c r="E61" s="57">
        <f t="shared" si="10"/>
        <v>0</v>
      </c>
      <c r="G61" s="37"/>
    </row>
    <row r="62" spans="1:11">
      <c r="A62" s="32" t="s">
        <v>90</v>
      </c>
      <c r="B62" s="32"/>
      <c r="C62" s="22">
        <f>780/2</f>
        <v>390</v>
      </c>
      <c r="D62" s="23">
        <v>0</v>
      </c>
      <c r="E62" s="23">
        <f t="shared" si="10"/>
        <v>390</v>
      </c>
      <c r="F62" s="24" t="s">
        <v>14</v>
      </c>
      <c r="G62" s="44" t="s">
        <v>91</v>
      </c>
    </row>
    <row r="63" spans="1:11">
      <c r="A63" s="21" t="s">
        <v>92</v>
      </c>
      <c r="B63" s="21"/>
      <c r="C63" s="22">
        <f>863.14/2</f>
        <v>431.57</v>
      </c>
      <c r="D63" s="23">
        <v>0</v>
      </c>
      <c r="E63" s="23">
        <f t="shared" si="10"/>
        <v>431.57</v>
      </c>
      <c r="F63" s="24" t="s">
        <v>43</v>
      </c>
      <c r="G63" s="26" t="s">
        <v>93</v>
      </c>
    </row>
    <row r="64" spans="1:11">
      <c r="A64" s="21" t="s">
        <v>94</v>
      </c>
      <c r="B64" s="21" t="s">
        <v>71</v>
      </c>
      <c r="C64" s="22">
        <f>3299.91</f>
        <v>3299.91</v>
      </c>
      <c r="D64" s="23">
        <v>0</v>
      </c>
      <c r="E64" s="23">
        <f t="shared" si="10"/>
        <v>3299.91</v>
      </c>
      <c r="F64" s="24" t="s">
        <v>14</v>
      </c>
      <c r="G64" s="48" t="s">
        <v>95</v>
      </c>
    </row>
    <row r="65" spans="1:26">
      <c r="A65" s="21" t="s">
        <v>96</v>
      </c>
      <c r="B65" s="21"/>
      <c r="C65" s="22">
        <v>0</v>
      </c>
      <c r="D65" s="23">
        <v>0</v>
      </c>
      <c r="E65" s="23">
        <f t="shared" si="10"/>
        <v>0</v>
      </c>
      <c r="F65" s="24"/>
    </row>
    <row r="66" spans="1:26">
      <c r="A66" s="5"/>
      <c r="B66" s="5"/>
      <c r="C66" s="34"/>
      <c r="D66" s="35"/>
      <c r="E66" s="36"/>
    </row>
    <row r="67" spans="1:26">
      <c r="A67" s="2" t="s">
        <v>97</v>
      </c>
      <c r="B67" s="5"/>
      <c r="C67" s="34"/>
      <c r="D67" s="35"/>
      <c r="E67" s="36"/>
    </row>
    <row r="68" spans="1:26">
      <c r="A68" s="67" t="s">
        <v>98</v>
      </c>
      <c r="B68" s="21"/>
      <c r="C68" s="22">
        <v>8393.8700000000008</v>
      </c>
      <c r="D68" s="23">
        <v>0</v>
      </c>
      <c r="E68" s="23">
        <f t="shared" ref="E68:E79" si="11">C68+D68</f>
        <v>8393.8700000000008</v>
      </c>
      <c r="F68" s="68" t="s">
        <v>14</v>
      </c>
      <c r="G68" s="69" t="s">
        <v>99</v>
      </c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>
      <c r="A69" s="32" t="s">
        <v>100</v>
      </c>
      <c r="B69" s="32"/>
      <c r="C69" s="22">
        <v>50</v>
      </c>
      <c r="D69" s="23">
        <v>11.5</v>
      </c>
      <c r="E69" s="23">
        <f t="shared" si="11"/>
        <v>61.5</v>
      </c>
      <c r="F69" s="24" t="s">
        <v>14</v>
      </c>
      <c r="G69" s="71" t="s">
        <v>101</v>
      </c>
      <c r="H69" s="15"/>
    </row>
    <row r="70" spans="1:26">
      <c r="A70" s="72" t="s">
        <v>102</v>
      </c>
      <c r="B70" s="73"/>
      <c r="C70" s="74">
        <v>71.05</v>
      </c>
      <c r="D70" s="23">
        <v>0</v>
      </c>
      <c r="E70" s="75">
        <f t="shared" si="11"/>
        <v>71.05</v>
      </c>
      <c r="F70" s="24" t="s">
        <v>14</v>
      </c>
      <c r="G70" s="76" t="s">
        <v>103</v>
      </c>
      <c r="H70" s="15"/>
    </row>
    <row r="71" spans="1:26">
      <c r="A71" s="21" t="s">
        <v>104</v>
      </c>
      <c r="B71" s="21"/>
      <c r="C71" s="22">
        <v>3900</v>
      </c>
      <c r="D71" s="23">
        <v>897</v>
      </c>
      <c r="E71" s="23">
        <f t="shared" si="11"/>
        <v>4797</v>
      </c>
      <c r="F71" s="24" t="s">
        <v>10</v>
      </c>
      <c r="G71" s="50" t="s">
        <v>105</v>
      </c>
      <c r="H71" s="51" t="s">
        <v>106</v>
      </c>
      <c r="I71" s="48" t="s">
        <v>107</v>
      </c>
    </row>
    <row r="72" spans="1:26">
      <c r="A72" s="21" t="s">
        <v>108</v>
      </c>
      <c r="B72" s="21"/>
      <c r="C72" s="22">
        <v>800</v>
      </c>
      <c r="D72" s="23">
        <f>C72*0.23</f>
        <v>184</v>
      </c>
      <c r="E72" s="23">
        <f t="shared" si="11"/>
        <v>984</v>
      </c>
      <c r="F72" s="24" t="s">
        <v>14</v>
      </c>
      <c r="G72" s="51" t="s">
        <v>109</v>
      </c>
      <c r="H72" s="33" t="s">
        <v>110</v>
      </c>
    </row>
    <row r="73" spans="1:26" ht="15.75" customHeight="1">
      <c r="A73" s="77" t="s">
        <v>111</v>
      </c>
      <c r="B73" s="78" t="s">
        <v>112</v>
      </c>
      <c r="C73" s="79">
        <v>2000</v>
      </c>
      <c r="D73" s="79">
        <v>460</v>
      </c>
      <c r="E73" s="79">
        <f t="shared" si="11"/>
        <v>2460</v>
      </c>
      <c r="F73" s="80" t="s">
        <v>14</v>
      </c>
      <c r="G73" s="81" t="s">
        <v>113</v>
      </c>
      <c r="H73" s="15"/>
    </row>
    <row r="74" spans="1:26" ht="15.75" customHeight="1">
      <c r="A74" s="82" t="s">
        <v>114</v>
      </c>
      <c r="B74" s="83" t="s">
        <v>115</v>
      </c>
      <c r="C74" s="84">
        <f>2039/2</f>
        <v>1019.5</v>
      </c>
      <c r="D74" s="84">
        <f t="shared" ref="D74:D78" si="12">C74*0.23</f>
        <v>234.48500000000001</v>
      </c>
      <c r="E74" s="84">
        <f t="shared" si="11"/>
        <v>1253.9850000000001</v>
      </c>
      <c r="F74" s="85" t="s">
        <v>14</v>
      </c>
      <c r="G74" s="25" t="s">
        <v>116</v>
      </c>
      <c r="H74" s="15"/>
    </row>
    <row r="75" spans="1:26" ht="15.75" customHeight="1">
      <c r="A75" s="82" t="s">
        <v>117</v>
      </c>
      <c r="B75" s="83" t="s">
        <v>118</v>
      </c>
      <c r="C75" s="84">
        <f>1243/2</f>
        <v>621.5</v>
      </c>
      <c r="D75" s="84">
        <f t="shared" si="12"/>
        <v>142.94499999999999</v>
      </c>
      <c r="E75" s="84">
        <f t="shared" si="11"/>
        <v>764.44499999999994</v>
      </c>
      <c r="F75" s="86" t="s">
        <v>14</v>
      </c>
      <c r="G75" s="25" t="s">
        <v>116</v>
      </c>
    </row>
    <row r="76" spans="1:26">
      <c r="A76" s="21" t="s">
        <v>119</v>
      </c>
      <c r="B76" s="21" t="s">
        <v>120</v>
      </c>
      <c r="C76" s="22">
        <v>1000</v>
      </c>
      <c r="D76" s="23">
        <f t="shared" si="12"/>
        <v>230</v>
      </c>
      <c r="E76" s="23">
        <f t="shared" si="11"/>
        <v>1230</v>
      </c>
      <c r="F76" s="24" t="s">
        <v>43</v>
      </c>
      <c r="G76" s="87" t="s">
        <v>113</v>
      </c>
    </row>
    <row r="77" spans="1:26" ht="15.75" customHeight="1">
      <c r="A77" s="77" t="s">
        <v>121</v>
      </c>
      <c r="B77" s="78" t="s">
        <v>122</v>
      </c>
      <c r="C77" s="88">
        <f>7021.6/2</f>
        <v>3510.8</v>
      </c>
      <c r="D77" s="89">
        <f t="shared" si="12"/>
        <v>807.48400000000004</v>
      </c>
      <c r="E77" s="89">
        <f t="shared" si="11"/>
        <v>4318.2840000000006</v>
      </c>
      <c r="F77" s="24" t="s">
        <v>14</v>
      </c>
      <c r="G77" s="44" t="s">
        <v>123</v>
      </c>
    </row>
    <row r="78" spans="1:26">
      <c r="A78" s="32" t="s">
        <v>124</v>
      </c>
      <c r="B78" s="32" t="s">
        <v>125</v>
      </c>
      <c r="C78" s="22">
        <f>3016.67/2</f>
        <v>1508.335</v>
      </c>
      <c r="D78" s="23">
        <f t="shared" si="12"/>
        <v>346.91705000000002</v>
      </c>
      <c r="E78" s="23">
        <f t="shared" si="11"/>
        <v>1855.2520500000001</v>
      </c>
      <c r="F78" s="24" t="s">
        <v>43</v>
      </c>
      <c r="G78" s="90" t="s">
        <v>126</v>
      </c>
    </row>
    <row r="79" spans="1:26">
      <c r="A79" s="32" t="s">
        <v>127</v>
      </c>
      <c r="B79" s="91" t="s">
        <v>128</v>
      </c>
      <c r="C79" s="92">
        <v>264.99</v>
      </c>
      <c r="D79" s="23">
        <v>0</v>
      </c>
      <c r="E79" s="92">
        <f t="shared" si="11"/>
        <v>264.99</v>
      </c>
      <c r="F79" s="24" t="s">
        <v>14</v>
      </c>
      <c r="G79" s="93" t="s">
        <v>129</v>
      </c>
      <c r="H79" s="93" t="s">
        <v>130</v>
      </c>
      <c r="I79" s="44" t="s">
        <v>131</v>
      </c>
      <c r="J79" s="94" t="s">
        <v>132</v>
      </c>
      <c r="K79" s="93" t="s">
        <v>130</v>
      </c>
    </row>
    <row r="80" spans="1:26">
      <c r="A80" s="32" t="s">
        <v>127</v>
      </c>
      <c r="B80" s="91" t="s">
        <v>133</v>
      </c>
      <c r="C80" s="92">
        <v>270</v>
      </c>
      <c r="D80" s="92">
        <v>0</v>
      </c>
      <c r="E80" s="92">
        <v>270</v>
      </c>
      <c r="F80" s="24" t="s">
        <v>14</v>
      </c>
      <c r="G80" s="47" t="s">
        <v>134</v>
      </c>
      <c r="H80" s="95"/>
      <c r="I80" s="37"/>
      <c r="J80" s="96"/>
      <c r="K80" s="95"/>
    </row>
    <row r="81" spans="1:11">
      <c r="A81" s="32" t="s">
        <v>135</v>
      </c>
      <c r="B81" s="91" t="s">
        <v>128</v>
      </c>
      <c r="C81" s="92">
        <v>130</v>
      </c>
      <c r="D81" s="92">
        <v>29.9</v>
      </c>
      <c r="E81" s="92">
        <f t="shared" ref="E81:E84" si="13">C81+D81</f>
        <v>159.9</v>
      </c>
      <c r="F81" s="24" t="s">
        <v>14</v>
      </c>
      <c r="G81" s="44" t="s">
        <v>136</v>
      </c>
      <c r="H81" s="95"/>
      <c r="I81" s="37"/>
      <c r="J81" s="96"/>
      <c r="K81" s="95"/>
    </row>
    <row r="82" spans="1:11">
      <c r="A82" s="32" t="s">
        <v>135</v>
      </c>
      <c r="B82" s="32" t="s">
        <v>137</v>
      </c>
      <c r="C82" s="22">
        <v>145</v>
      </c>
      <c r="D82" s="23">
        <v>33.35</v>
      </c>
      <c r="E82" s="23">
        <f t="shared" si="13"/>
        <v>178.35</v>
      </c>
      <c r="F82" s="68" t="s">
        <v>14</v>
      </c>
      <c r="G82" s="97" t="s">
        <v>138</v>
      </c>
      <c r="H82" s="15"/>
    </row>
    <row r="83" spans="1:11">
      <c r="A83" s="32" t="s">
        <v>139</v>
      </c>
      <c r="B83" s="91" t="s">
        <v>140</v>
      </c>
      <c r="C83" s="22">
        <v>120</v>
      </c>
      <c r="D83" s="23">
        <v>0</v>
      </c>
      <c r="E83" s="23">
        <f t="shared" si="13"/>
        <v>120</v>
      </c>
      <c r="F83" s="24" t="s">
        <v>14</v>
      </c>
      <c r="G83" s="15"/>
    </row>
    <row r="84" spans="1:11">
      <c r="A84" s="32" t="s">
        <v>141</v>
      </c>
      <c r="B84" s="32" t="s">
        <v>142</v>
      </c>
      <c r="C84" s="22">
        <v>180.52</v>
      </c>
      <c r="D84" s="23">
        <v>0</v>
      </c>
      <c r="E84" s="23">
        <f t="shared" si="13"/>
        <v>180.52</v>
      </c>
      <c r="F84" s="24" t="s">
        <v>14</v>
      </c>
      <c r="G84" s="51" t="s">
        <v>143</v>
      </c>
    </row>
    <row r="85" spans="1:11">
      <c r="A85" s="5"/>
      <c r="B85" s="98"/>
      <c r="C85" s="99"/>
      <c r="D85" s="5"/>
      <c r="E85" s="5"/>
      <c r="G85" s="95"/>
      <c r="H85" s="95"/>
      <c r="I85" s="37"/>
      <c r="J85" s="96"/>
      <c r="K85" s="95"/>
    </row>
    <row r="86" spans="1:11">
      <c r="A86" s="100" t="s">
        <v>144</v>
      </c>
      <c r="B86" s="101"/>
      <c r="C86" s="102" t="e">
        <f>SUM(C8:C85)</f>
        <v>#REF!</v>
      </c>
      <c r="D86" s="102">
        <f>SUM(D7:D85)</f>
        <v>14604.574599999998</v>
      </c>
      <c r="E86" s="103" t="e">
        <f>C86+D86</f>
        <v>#REF!</v>
      </c>
      <c r="G86" s="95"/>
      <c r="H86" s="95"/>
      <c r="I86" s="37"/>
      <c r="J86" s="96"/>
      <c r="K86" s="95"/>
    </row>
    <row r="87" spans="1:11">
      <c r="A87" s="7"/>
      <c r="B87" s="5"/>
      <c r="C87" s="139"/>
      <c r="D87" s="131"/>
      <c r="E87" s="5"/>
      <c r="G87" s="37"/>
      <c r="H87" s="95"/>
      <c r="I87" s="37"/>
      <c r="J87" s="96"/>
      <c r="K87" s="95"/>
    </row>
    <row r="88" spans="1:11">
      <c r="A88" s="5"/>
      <c r="B88" s="5"/>
      <c r="C88" s="5"/>
      <c r="D88" s="5"/>
      <c r="E88" s="5"/>
      <c r="H88" s="104"/>
    </row>
    <row r="89" spans="1:11">
      <c r="A89" s="5"/>
      <c r="B89" s="5"/>
      <c r="C89" s="5"/>
      <c r="D89" s="5"/>
      <c r="E89" s="5"/>
      <c r="H89" s="37"/>
    </row>
    <row r="90" spans="1:11">
      <c r="A90" s="5"/>
      <c r="B90" s="5"/>
      <c r="C90" s="5"/>
      <c r="D90" s="5"/>
      <c r="E90" s="5"/>
    </row>
    <row r="91" spans="1:11">
      <c r="A91" s="5"/>
      <c r="B91" s="5"/>
      <c r="C91" s="5"/>
      <c r="D91" s="5"/>
      <c r="E91" s="5"/>
    </row>
    <row r="92" spans="1:11">
      <c r="A92" s="5"/>
      <c r="B92" s="5"/>
      <c r="C92" s="5"/>
      <c r="D92" s="5"/>
      <c r="E92" s="5"/>
    </row>
    <row r="93" spans="1:11">
      <c r="A93" s="5"/>
      <c r="B93" s="5"/>
      <c r="C93" s="5"/>
      <c r="D93" s="5"/>
      <c r="E93" s="5"/>
    </row>
    <row r="94" spans="1:11">
      <c r="A94" s="5"/>
      <c r="B94" s="5"/>
      <c r="C94" s="5"/>
      <c r="D94" s="5"/>
      <c r="E94" s="5"/>
    </row>
    <row r="95" spans="1:11">
      <c r="A95" s="5"/>
      <c r="B95" s="5"/>
      <c r="C95" s="5"/>
      <c r="D95" s="5"/>
      <c r="E95" s="5"/>
    </row>
  </sheetData>
  <mergeCells count="4">
    <mergeCell ref="D1:E1"/>
    <mergeCell ref="F36:F38"/>
    <mergeCell ref="G36:G38"/>
    <mergeCell ref="C87:D87"/>
  </mergeCells>
  <dataValidations count="1">
    <dataValidation type="list" allowBlank="1" showErrorMessage="1" sqref="N8 V8 F8:F9 F12 F15:F16 F20:F21 F24:F27 F30:F33 F36 F39 F42:F43 F46 F49:F59 F62:F65 F68:F84" xr:uid="{00000000-0002-0000-0100-000000000000}">
      <formula1>"PAGO,LANÇADO,EM NEGOCIAÇÃO,PAGO PARCIALMENTE,OUTROS,FLUXO (FALTA FT) "</formula1>
    </dataValidation>
  </dataValidations>
  <hyperlinks>
    <hyperlink ref="G8" r:id="rId1" xr:uid="{00000000-0004-0000-0100-000000000000}"/>
    <hyperlink ref="H8" r:id="rId2" xr:uid="{00000000-0004-0000-0100-000001000000}"/>
    <hyperlink ref="G9" r:id="rId3" xr:uid="{00000000-0004-0000-0100-000002000000}"/>
    <hyperlink ref="G12" r:id="rId4" xr:uid="{00000000-0004-0000-0100-000003000000}"/>
    <hyperlink ref="G16" r:id="rId5" xr:uid="{00000000-0004-0000-0100-000004000000}"/>
    <hyperlink ref="G20" r:id="rId6" xr:uid="{00000000-0004-0000-0100-000005000000}"/>
    <hyperlink ref="G21" r:id="rId7" xr:uid="{00000000-0004-0000-0100-000006000000}"/>
    <hyperlink ref="H21" r:id="rId8" xr:uid="{00000000-0004-0000-0100-000007000000}"/>
    <hyperlink ref="G24" r:id="rId9" xr:uid="{00000000-0004-0000-0100-000008000000}"/>
    <hyperlink ref="G25" r:id="rId10" xr:uid="{00000000-0004-0000-0100-000009000000}"/>
    <hyperlink ref="G26" r:id="rId11" xr:uid="{00000000-0004-0000-0100-00000A000000}"/>
    <hyperlink ref="G27" r:id="rId12" xr:uid="{00000000-0004-0000-0100-00000B000000}"/>
    <hyperlink ref="G30" r:id="rId13" xr:uid="{00000000-0004-0000-0100-00000C000000}"/>
    <hyperlink ref="G31" r:id="rId14" xr:uid="{00000000-0004-0000-0100-00000D000000}"/>
    <hyperlink ref="G32" r:id="rId15" xr:uid="{00000000-0004-0000-0100-00000E000000}"/>
    <hyperlink ref="G33" r:id="rId16" xr:uid="{00000000-0004-0000-0100-00000F000000}"/>
    <hyperlink ref="G36" r:id="rId17" xr:uid="{00000000-0004-0000-0100-000010000000}"/>
    <hyperlink ref="G39" r:id="rId18" xr:uid="{00000000-0004-0000-0100-000011000000}"/>
    <hyperlink ref="G42" r:id="rId19" xr:uid="{00000000-0004-0000-0100-000012000000}"/>
    <hyperlink ref="G43" r:id="rId20" xr:uid="{00000000-0004-0000-0100-000013000000}"/>
    <hyperlink ref="G46" r:id="rId21" xr:uid="{00000000-0004-0000-0100-000014000000}"/>
    <hyperlink ref="G49" r:id="rId22" xr:uid="{00000000-0004-0000-0100-000015000000}"/>
    <hyperlink ref="H49" r:id="rId23" xr:uid="{00000000-0004-0000-0100-000016000000}"/>
    <hyperlink ref="I49" r:id="rId24" xr:uid="{00000000-0004-0000-0100-000017000000}"/>
    <hyperlink ref="J49" r:id="rId25" xr:uid="{00000000-0004-0000-0100-000018000000}"/>
    <hyperlink ref="G50" r:id="rId26" xr:uid="{00000000-0004-0000-0100-000019000000}"/>
    <hyperlink ref="G59" r:id="rId27" xr:uid="{00000000-0004-0000-0100-00001A000000}"/>
    <hyperlink ref="G62" r:id="rId28" xr:uid="{00000000-0004-0000-0100-00001B000000}"/>
    <hyperlink ref="G63" r:id="rId29" xr:uid="{00000000-0004-0000-0100-00001C000000}"/>
    <hyperlink ref="G64" r:id="rId30" xr:uid="{00000000-0004-0000-0100-00001D000000}"/>
    <hyperlink ref="G68" r:id="rId31" xr:uid="{00000000-0004-0000-0100-00001E000000}"/>
    <hyperlink ref="G69" r:id="rId32" xr:uid="{00000000-0004-0000-0100-00001F000000}"/>
    <hyperlink ref="G70" r:id="rId33" xr:uid="{00000000-0004-0000-0100-000020000000}"/>
    <hyperlink ref="G71" r:id="rId34" xr:uid="{00000000-0004-0000-0100-000021000000}"/>
    <hyperlink ref="H71" r:id="rId35" xr:uid="{00000000-0004-0000-0100-000022000000}"/>
    <hyperlink ref="I71" r:id="rId36" xr:uid="{00000000-0004-0000-0100-000023000000}"/>
    <hyperlink ref="G72" r:id="rId37" xr:uid="{00000000-0004-0000-0100-000024000000}"/>
    <hyperlink ref="H72" r:id="rId38" xr:uid="{00000000-0004-0000-0100-000025000000}"/>
    <hyperlink ref="G73" r:id="rId39" xr:uid="{00000000-0004-0000-0100-000026000000}"/>
    <hyperlink ref="G74" r:id="rId40" xr:uid="{00000000-0004-0000-0100-000027000000}"/>
    <hyperlink ref="G75" r:id="rId41" xr:uid="{00000000-0004-0000-0100-000028000000}"/>
    <hyperlink ref="G76" r:id="rId42" xr:uid="{00000000-0004-0000-0100-000029000000}"/>
    <hyperlink ref="G77" r:id="rId43" xr:uid="{00000000-0004-0000-0100-00002A000000}"/>
    <hyperlink ref="G78" r:id="rId44" xr:uid="{00000000-0004-0000-0100-00002B000000}"/>
    <hyperlink ref="G79" r:id="rId45" xr:uid="{00000000-0004-0000-0100-00002C000000}"/>
    <hyperlink ref="H79" r:id="rId46" xr:uid="{00000000-0004-0000-0100-00002D000000}"/>
    <hyperlink ref="I79" r:id="rId47" xr:uid="{00000000-0004-0000-0100-00002E000000}"/>
    <hyperlink ref="J79" r:id="rId48" xr:uid="{00000000-0004-0000-0100-00002F000000}"/>
    <hyperlink ref="K79" r:id="rId49" xr:uid="{00000000-0004-0000-0100-000030000000}"/>
    <hyperlink ref="G80" r:id="rId50" xr:uid="{00000000-0004-0000-0100-000031000000}"/>
    <hyperlink ref="G81" r:id="rId51" xr:uid="{00000000-0004-0000-0100-000032000000}"/>
    <hyperlink ref="G82" r:id="rId52" xr:uid="{00000000-0004-0000-0100-000033000000}"/>
    <hyperlink ref="G84" r:id="rId53" xr:uid="{00000000-0004-0000-0100-00003400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85"/>
  <sheetViews>
    <sheetView tabSelected="1" workbookViewId="0"/>
  </sheetViews>
  <sheetFormatPr baseColWidth="10" defaultColWidth="12.6640625" defaultRowHeight="15.75" customHeight="1"/>
  <cols>
    <col min="1" max="1" width="44.83203125" customWidth="1"/>
    <col min="2" max="2" width="62.6640625" customWidth="1"/>
    <col min="3" max="3" width="20.5" customWidth="1"/>
    <col min="4" max="4" width="15.5" customWidth="1"/>
    <col min="5" max="5" width="18.5" customWidth="1"/>
    <col min="6" max="6" width="17.33203125" customWidth="1"/>
  </cols>
  <sheetData>
    <row r="1" spans="1:9" ht="14">
      <c r="A1" s="2" t="s">
        <v>145</v>
      </c>
      <c r="B1" s="3"/>
      <c r="C1" s="4"/>
      <c r="D1" s="3"/>
      <c r="E1" s="3" t="s">
        <v>146</v>
      </c>
    </row>
    <row r="2" spans="1:9" ht="14">
      <c r="A2" s="5"/>
      <c r="B2" s="5"/>
      <c r="C2" s="6"/>
      <c r="D2" s="5"/>
      <c r="E2" s="5"/>
    </row>
    <row r="3" spans="1:9" ht="14">
      <c r="A3" s="7" t="s">
        <v>1</v>
      </c>
      <c r="B3" s="5"/>
      <c r="C3" s="8">
        <f ca="1">TODAY()</f>
        <v>46105</v>
      </c>
      <c r="D3" s="5"/>
      <c r="E3" s="5"/>
    </row>
    <row r="4" spans="1:9" ht="14">
      <c r="A4" s="9"/>
      <c r="B4" s="9"/>
      <c r="C4" s="10"/>
      <c r="D4" s="5"/>
      <c r="E4" s="5"/>
    </row>
    <row r="5" spans="1:9" ht="14">
      <c r="A5" s="11" t="s">
        <v>2</v>
      </c>
      <c r="B5" s="12" t="s">
        <v>3</v>
      </c>
      <c r="C5" s="12" t="s">
        <v>4</v>
      </c>
      <c r="D5" s="13" t="s">
        <v>5</v>
      </c>
      <c r="E5" s="13" t="s">
        <v>6</v>
      </c>
    </row>
    <row r="6" spans="1:9" ht="14">
      <c r="A6" s="14"/>
      <c r="B6" s="5"/>
      <c r="C6" s="5"/>
      <c r="D6" s="5"/>
      <c r="E6" s="5"/>
    </row>
    <row r="7" spans="1:9" ht="14">
      <c r="A7" s="2" t="s">
        <v>8</v>
      </c>
      <c r="B7" s="5"/>
      <c r="C7" s="17"/>
      <c r="D7" s="17"/>
      <c r="E7" s="18"/>
      <c r="G7" s="15"/>
      <c r="H7" s="15"/>
    </row>
    <row r="8" spans="1:9" ht="14">
      <c r="A8" s="21" t="s">
        <v>9</v>
      </c>
      <c r="B8" s="105" t="s">
        <v>147</v>
      </c>
      <c r="C8" s="22" t="e">
        <f>#REF!</f>
        <v>#REF!</v>
      </c>
      <c r="D8" s="22">
        <v>0</v>
      </c>
      <c r="E8" s="23" t="e">
        <f t="shared" ref="E8:E9" si="0">C8+D8</f>
        <v>#REF!</v>
      </c>
      <c r="F8" s="24" t="s">
        <v>10</v>
      </c>
      <c r="G8" s="33" t="s">
        <v>148</v>
      </c>
      <c r="H8" s="26" t="s">
        <v>12</v>
      </c>
      <c r="I8" s="20"/>
    </row>
    <row r="9" spans="1:9" ht="14">
      <c r="A9" s="5" t="s">
        <v>13</v>
      </c>
      <c r="B9" s="5"/>
      <c r="C9" s="40">
        <v>200</v>
      </c>
      <c r="D9" s="40">
        <v>0</v>
      </c>
      <c r="E9" s="41">
        <f t="shared" si="0"/>
        <v>200</v>
      </c>
      <c r="F9" s="24" t="s">
        <v>14</v>
      </c>
      <c r="G9" s="58" t="s">
        <v>149</v>
      </c>
      <c r="H9" s="20"/>
    </row>
    <row r="10" spans="1:9" ht="14">
      <c r="A10" s="5"/>
      <c r="B10" s="5"/>
      <c r="C10" s="34"/>
      <c r="D10" s="35"/>
      <c r="E10" s="36"/>
      <c r="G10" s="15"/>
      <c r="H10" s="15"/>
    </row>
    <row r="11" spans="1:9" ht="14">
      <c r="A11" s="2" t="s">
        <v>16</v>
      </c>
      <c r="B11" s="5"/>
      <c r="C11" s="34"/>
      <c r="D11" s="35"/>
      <c r="E11" s="36"/>
      <c r="G11" s="15"/>
    </row>
    <row r="12" spans="1:9" ht="14">
      <c r="A12" s="21" t="s">
        <v>17</v>
      </c>
      <c r="B12" s="21"/>
      <c r="C12" s="22" t="e">
        <f>#REF!/2</f>
        <v>#REF!</v>
      </c>
      <c r="D12" s="22">
        <v>0</v>
      </c>
      <c r="E12" s="23" t="e">
        <f t="shared" ref="E12:E13" si="1">C12+D12</f>
        <v>#REF!</v>
      </c>
      <c r="F12" s="24" t="s">
        <v>14</v>
      </c>
      <c r="G12" s="26" t="s">
        <v>12</v>
      </c>
    </row>
    <row r="13" spans="1:9" ht="14">
      <c r="A13" s="21" t="s">
        <v>86</v>
      </c>
      <c r="B13" s="21" t="s">
        <v>150</v>
      </c>
      <c r="C13" s="22">
        <f>1691</f>
        <v>1691</v>
      </c>
      <c r="D13" s="23">
        <f>C13*0.23</f>
        <v>388.93</v>
      </c>
      <c r="E13" s="23">
        <f t="shared" si="1"/>
        <v>2079.9299999999998</v>
      </c>
      <c r="F13" s="24" t="s">
        <v>43</v>
      </c>
      <c r="G13" s="33" t="s">
        <v>151</v>
      </c>
    </row>
    <row r="14" spans="1:9" ht="14">
      <c r="A14" s="5"/>
      <c r="B14" s="5"/>
      <c r="C14" s="34"/>
      <c r="D14" s="35"/>
      <c r="E14" s="36"/>
      <c r="G14" s="15"/>
    </row>
    <row r="15" spans="1:9" ht="14">
      <c r="A15" s="2" t="s">
        <v>18</v>
      </c>
      <c r="B15" s="5"/>
      <c r="C15" s="34"/>
      <c r="D15" s="35"/>
      <c r="E15" s="36"/>
    </row>
    <row r="16" spans="1:9" ht="14">
      <c r="A16" s="39" t="s">
        <v>19</v>
      </c>
      <c r="B16" s="39"/>
      <c r="C16" s="40">
        <f>'CUSTOS LISBOA'!I17/2</f>
        <v>0</v>
      </c>
      <c r="D16" s="40">
        <v>0</v>
      </c>
      <c r="E16" s="41">
        <f>C16+D16</f>
        <v>0</v>
      </c>
      <c r="F16" s="24" t="s">
        <v>20</v>
      </c>
      <c r="G16" s="20"/>
    </row>
    <row r="17" spans="1:8" ht="14">
      <c r="A17" s="32" t="s">
        <v>21</v>
      </c>
      <c r="B17" s="32"/>
      <c r="C17" s="22">
        <f>(210+1200*23)/2</f>
        <v>13905</v>
      </c>
      <c r="D17" s="22">
        <v>0</v>
      </c>
      <c r="E17" s="23">
        <f>C17/2</f>
        <v>6952.5</v>
      </c>
      <c r="F17" s="24" t="s">
        <v>14</v>
      </c>
      <c r="G17" s="44" t="s">
        <v>22</v>
      </c>
    </row>
    <row r="19" spans="1:8" ht="14">
      <c r="A19" s="2" t="s">
        <v>23</v>
      </c>
      <c r="B19" s="5"/>
      <c r="C19" s="34"/>
      <c r="D19" s="35"/>
      <c r="E19" s="36"/>
      <c r="G19" s="37"/>
    </row>
    <row r="20" spans="1:8" ht="14">
      <c r="A20" s="21" t="s">
        <v>152</v>
      </c>
      <c r="B20" s="21"/>
      <c r="C20" s="23">
        <v>1067</v>
      </c>
      <c r="D20" s="22">
        <v>0</v>
      </c>
      <c r="E20" s="23">
        <f>C20+D20</f>
        <v>1067</v>
      </c>
      <c r="F20" s="24" t="s">
        <v>14</v>
      </c>
      <c r="G20" s="26" t="s">
        <v>153</v>
      </c>
      <c r="H20" s="46" t="s">
        <v>154</v>
      </c>
    </row>
    <row r="21" spans="1:8" ht="14">
      <c r="A21" s="32" t="s">
        <v>155</v>
      </c>
      <c r="B21" s="32"/>
      <c r="C21" s="23">
        <v>115</v>
      </c>
      <c r="D21" s="22">
        <v>0</v>
      </c>
      <c r="E21" s="23">
        <v>115</v>
      </c>
      <c r="F21" s="24" t="s">
        <v>14</v>
      </c>
      <c r="G21" s="46" t="s">
        <v>154</v>
      </c>
    </row>
    <row r="22" spans="1:8" ht="14">
      <c r="A22" s="32" t="s">
        <v>156</v>
      </c>
      <c r="B22" s="32"/>
      <c r="C22" s="23">
        <v>2190</v>
      </c>
      <c r="D22" s="22">
        <v>0</v>
      </c>
      <c r="E22" s="23">
        <f t="shared" ref="E22:E24" si="2">C22+D22</f>
        <v>2190</v>
      </c>
      <c r="F22" s="24" t="s">
        <v>14</v>
      </c>
      <c r="G22" s="106" t="s">
        <v>157</v>
      </c>
      <c r="H22" s="107" t="s">
        <v>158</v>
      </c>
    </row>
    <row r="23" spans="1:8" ht="14">
      <c r="A23" s="32" t="s">
        <v>159</v>
      </c>
      <c r="B23" s="32"/>
      <c r="C23" s="23">
        <v>349.8</v>
      </c>
      <c r="D23" s="22">
        <v>0</v>
      </c>
      <c r="E23" s="23">
        <f t="shared" si="2"/>
        <v>349.8</v>
      </c>
      <c r="F23" s="24" t="s">
        <v>14</v>
      </c>
      <c r="G23" s="108" t="s">
        <v>160</v>
      </c>
    </row>
    <row r="24" spans="1:8" ht="14">
      <c r="A24" s="32" t="s">
        <v>161</v>
      </c>
      <c r="B24" s="32"/>
      <c r="C24" s="23">
        <v>82.5</v>
      </c>
      <c r="D24" s="22">
        <v>0</v>
      </c>
      <c r="E24" s="23">
        <f t="shared" si="2"/>
        <v>82.5</v>
      </c>
      <c r="F24" s="24" t="s">
        <v>43</v>
      </c>
      <c r="G24" s="46" t="s">
        <v>162</v>
      </c>
    </row>
    <row r="25" spans="1:8" ht="14">
      <c r="A25" s="5"/>
      <c r="B25" s="5"/>
      <c r="C25" s="34"/>
      <c r="D25" s="35"/>
      <c r="E25" s="36"/>
      <c r="G25" s="37"/>
    </row>
    <row r="26" spans="1:8" ht="14">
      <c r="A26" s="2" t="s">
        <v>29</v>
      </c>
      <c r="B26" s="5"/>
      <c r="C26" s="34"/>
      <c r="D26" s="35"/>
      <c r="E26" s="36"/>
    </row>
    <row r="27" spans="1:8" ht="14">
      <c r="A27" s="21" t="s">
        <v>30</v>
      </c>
      <c r="B27" s="21" t="s">
        <v>31</v>
      </c>
      <c r="C27" s="22">
        <f>3280/2</f>
        <v>1640</v>
      </c>
      <c r="D27" s="23">
        <f t="shared" ref="D27:D29" si="3">C27*0.06</f>
        <v>98.399999999999991</v>
      </c>
      <c r="E27" s="23">
        <f t="shared" ref="E27:E30" si="4">C27+D27</f>
        <v>1738.4</v>
      </c>
      <c r="F27" s="24" t="s">
        <v>43</v>
      </c>
      <c r="G27" s="48" t="s">
        <v>32</v>
      </c>
    </row>
    <row r="28" spans="1:8" ht="14">
      <c r="A28" s="21" t="s">
        <v>163</v>
      </c>
      <c r="B28" s="21" t="s">
        <v>164</v>
      </c>
      <c r="C28" s="22">
        <v>1200</v>
      </c>
      <c r="D28" s="23">
        <f t="shared" si="3"/>
        <v>72</v>
      </c>
      <c r="E28" s="23">
        <f t="shared" si="4"/>
        <v>1272</v>
      </c>
      <c r="F28" s="24" t="s">
        <v>43</v>
      </c>
      <c r="G28" s="48" t="s">
        <v>165</v>
      </c>
    </row>
    <row r="29" spans="1:8" ht="14">
      <c r="A29" s="32" t="s">
        <v>33</v>
      </c>
      <c r="B29" s="21" t="s">
        <v>34</v>
      </c>
      <c r="C29" s="22">
        <f>2867.92/2</f>
        <v>1433.96</v>
      </c>
      <c r="D29" s="23">
        <f t="shared" si="3"/>
        <v>86.037599999999998</v>
      </c>
      <c r="E29" s="23">
        <f t="shared" si="4"/>
        <v>1519.9976000000001</v>
      </c>
      <c r="F29" s="24" t="s">
        <v>14</v>
      </c>
      <c r="G29" s="50" t="s">
        <v>35</v>
      </c>
    </row>
    <row r="30" spans="1:8" ht="14">
      <c r="A30" s="21" t="s">
        <v>37</v>
      </c>
      <c r="B30" s="21" t="s">
        <v>38</v>
      </c>
      <c r="C30" s="23">
        <v>89.45</v>
      </c>
      <c r="D30" s="23">
        <v>0</v>
      </c>
      <c r="E30" s="23">
        <f t="shared" si="4"/>
        <v>89.45</v>
      </c>
      <c r="F30" s="24" t="s">
        <v>14</v>
      </c>
      <c r="G30" s="51" t="s">
        <v>39</v>
      </c>
    </row>
    <row r="31" spans="1:8" ht="14">
      <c r="A31" s="5"/>
      <c r="B31" s="5"/>
      <c r="C31" s="34"/>
      <c r="D31" s="35"/>
      <c r="E31" s="36"/>
    </row>
    <row r="32" spans="1:8" ht="14">
      <c r="A32" s="2" t="s">
        <v>40</v>
      </c>
      <c r="B32" s="5"/>
      <c r="C32" s="34"/>
      <c r="D32" s="35"/>
      <c r="E32" s="36"/>
      <c r="G32" s="109"/>
      <c r="H32" s="109"/>
    </row>
    <row r="33" spans="1:26" ht="14">
      <c r="A33" s="39" t="s">
        <v>41</v>
      </c>
      <c r="B33" s="110" t="s">
        <v>166</v>
      </c>
      <c r="C33" s="40">
        <v>16000</v>
      </c>
      <c r="D33" s="41">
        <f>C33*0.23</f>
        <v>3680</v>
      </c>
      <c r="E33" s="41">
        <f t="shared" ref="E33:E36" si="5">C33+D33</f>
        <v>19680</v>
      </c>
      <c r="F33" s="24" t="s">
        <v>14</v>
      </c>
      <c r="G33" s="111" t="s">
        <v>167</v>
      </c>
      <c r="H33" s="109"/>
    </row>
    <row r="34" spans="1:26" ht="14">
      <c r="A34" s="65" t="s">
        <v>63</v>
      </c>
      <c r="B34" s="65" t="s">
        <v>168</v>
      </c>
      <c r="C34" s="40">
        <v>200</v>
      </c>
      <c r="D34" s="41">
        <v>23</v>
      </c>
      <c r="E34" s="41">
        <f t="shared" si="5"/>
        <v>223</v>
      </c>
      <c r="F34" s="24" t="s">
        <v>14</v>
      </c>
      <c r="G34" s="112" t="s">
        <v>169</v>
      </c>
      <c r="H34" s="112" t="s">
        <v>170</v>
      </c>
    </row>
    <row r="35" spans="1:26" ht="14">
      <c r="A35" s="21" t="s">
        <v>47</v>
      </c>
      <c r="B35" s="21" t="s">
        <v>48</v>
      </c>
      <c r="C35" s="22">
        <f>3225.57/2</f>
        <v>1612.7850000000001</v>
      </c>
      <c r="D35" s="23">
        <f>C35*0.23</f>
        <v>370.94055000000003</v>
      </c>
      <c r="E35" s="23">
        <f t="shared" si="5"/>
        <v>1983.7255500000001</v>
      </c>
      <c r="F35" s="24" t="s">
        <v>43</v>
      </c>
      <c r="G35" s="111" t="s">
        <v>49</v>
      </c>
      <c r="H35" s="113"/>
    </row>
    <row r="36" spans="1:26" ht="14">
      <c r="A36" s="114" t="s">
        <v>50</v>
      </c>
      <c r="B36" s="115"/>
      <c r="C36" s="116">
        <f>250/2</f>
        <v>125</v>
      </c>
      <c r="D36" s="116">
        <v>0</v>
      </c>
      <c r="E36" s="116">
        <f t="shared" si="5"/>
        <v>125</v>
      </c>
      <c r="F36" s="80" t="s">
        <v>43</v>
      </c>
      <c r="G36" s="112" t="s">
        <v>51</v>
      </c>
      <c r="H36" s="113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4">
      <c r="A37" s="5"/>
      <c r="B37" s="5"/>
      <c r="C37" s="34"/>
      <c r="D37" s="35"/>
      <c r="E37" s="36"/>
      <c r="H37" s="118"/>
    </row>
    <row r="38" spans="1:26" ht="14">
      <c r="A38" s="2" t="s">
        <v>52</v>
      </c>
      <c r="B38" s="5"/>
      <c r="C38" s="34"/>
      <c r="D38" s="35"/>
      <c r="E38" s="36"/>
      <c r="H38" s="15"/>
    </row>
    <row r="39" spans="1:26" ht="14">
      <c r="A39" s="21" t="s">
        <v>53</v>
      </c>
      <c r="B39" s="21" t="s">
        <v>171</v>
      </c>
      <c r="C39" s="22">
        <f>1516.5</f>
        <v>1516.5</v>
      </c>
      <c r="D39" s="23">
        <f>C39*0.23</f>
        <v>348.79500000000002</v>
      </c>
      <c r="E39" s="23">
        <f t="shared" ref="E39:E41" si="6">C39+D39</f>
        <v>1865.2950000000001</v>
      </c>
      <c r="F39" s="24" t="s">
        <v>14</v>
      </c>
      <c r="G39" s="46" t="s">
        <v>172</v>
      </c>
      <c r="H39" s="33" t="s">
        <v>173</v>
      </c>
    </row>
    <row r="40" spans="1:26" ht="14">
      <c r="A40" s="21" t="s">
        <v>56</v>
      </c>
      <c r="B40" s="21"/>
      <c r="C40" s="23">
        <v>450</v>
      </c>
      <c r="D40" s="23">
        <v>0</v>
      </c>
      <c r="E40" s="23">
        <f t="shared" si="6"/>
        <v>450</v>
      </c>
      <c r="F40" s="24" t="s">
        <v>14</v>
      </c>
      <c r="G40" s="33" t="s">
        <v>55</v>
      </c>
      <c r="H40" s="15"/>
    </row>
    <row r="41" spans="1:26" ht="14">
      <c r="A41" s="32" t="s">
        <v>58</v>
      </c>
      <c r="B41" s="21"/>
      <c r="C41" s="23">
        <v>89.43</v>
      </c>
      <c r="D41" s="23">
        <v>0</v>
      </c>
      <c r="E41" s="23">
        <f t="shared" si="6"/>
        <v>89.43</v>
      </c>
      <c r="F41" s="24" t="s">
        <v>14</v>
      </c>
      <c r="G41" s="55" t="s">
        <v>39</v>
      </c>
    </row>
    <row r="42" spans="1:26" ht="14">
      <c r="A42" s="5"/>
      <c r="B42" s="5"/>
      <c r="C42" s="34"/>
      <c r="D42" s="35"/>
      <c r="E42" s="36"/>
      <c r="G42" s="15"/>
      <c r="H42" s="119"/>
    </row>
    <row r="43" spans="1:26" ht="14">
      <c r="A43" s="2" t="s">
        <v>59</v>
      </c>
      <c r="B43" s="5"/>
      <c r="C43" s="34"/>
      <c r="D43" s="35"/>
      <c r="E43" s="36"/>
      <c r="G43" s="15"/>
    </row>
    <row r="44" spans="1:26" ht="14">
      <c r="A44" s="18" t="s">
        <v>60</v>
      </c>
      <c r="B44" s="18"/>
      <c r="C44" s="56">
        <f>500+500+120+80</f>
        <v>1200</v>
      </c>
      <c r="D44" s="56">
        <f>C44*0.23</f>
        <v>276</v>
      </c>
      <c r="E44" s="56">
        <f>C44+D44</f>
        <v>1476</v>
      </c>
      <c r="F44" s="24" t="s">
        <v>174</v>
      </c>
      <c r="G44" s="33" t="s">
        <v>175</v>
      </c>
    </row>
    <row r="45" spans="1:26" ht="14">
      <c r="A45" s="5"/>
      <c r="B45" s="5"/>
      <c r="C45" s="34"/>
      <c r="D45" s="35"/>
      <c r="E45" s="36"/>
      <c r="G45" s="15"/>
    </row>
    <row r="46" spans="1:26" ht="14">
      <c r="A46" s="2" t="s">
        <v>65</v>
      </c>
      <c r="B46" s="5"/>
      <c r="C46" s="34"/>
      <c r="D46" s="35"/>
      <c r="E46" s="36"/>
    </row>
    <row r="47" spans="1:26" ht="14">
      <c r="A47" s="21" t="s">
        <v>66</v>
      </c>
      <c r="B47" s="21" t="s">
        <v>67</v>
      </c>
      <c r="C47" s="22">
        <v>714.49</v>
      </c>
      <c r="D47" s="23">
        <f>C47*0.23</f>
        <v>164.33270000000002</v>
      </c>
      <c r="E47" s="23">
        <f>C47+D47</f>
        <v>878.82270000000005</v>
      </c>
      <c r="F47" s="24" t="s">
        <v>14</v>
      </c>
      <c r="G47" s="48" t="s">
        <v>68</v>
      </c>
    </row>
    <row r="48" spans="1:26" ht="14">
      <c r="A48" s="5"/>
      <c r="B48" s="5"/>
      <c r="C48" s="34"/>
      <c r="D48" s="35"/>
      <c r="E48" s="35"/>
    </row>
    <row r="49" spans="1:26" ht="14">
      <c r="A49" s="2" t="s">
        <v>69</v>
      </c>
      <c r="B49" s="5"/>
      <c r="C49" s="34"/>
      <c r="D49" s="35"/>
      <c r="E49" s="35"/>
    </row>
    <row r="50" spans="1:26" ht="16.5" customHeight="1">
      <c r="A50" s="21" t="s">
        <v>176</v>
      </c>
      <c r="B50" s="21" t="s">
        <v>71</v>
      </c>
      <c r="C50" s="120">
        <v>17000</v>
      </c>
      <c r="D50" s="22">
        <f t="shared" ref="D50:D57" si="7">C50*0.23</f>
        <v>3910</v>
      </c>
      <c r="E50" s="22">
        <f t="shared" ref="E50:E57" si="8">C50+D50</f>
        <v>20910</v>
      </c>
      <c r="F50" s="24" t="s">
        <v>14</v>
      </c>
      <c r="G50" s="140" t="s">
        <v>177</v>
      </c>
    </row>
    <row r="51" spans="1:26" ht="14">
      <c r="A51" s="32" t="s">
        <v>178</v>
      </c>
      <c r="B51" s="21"/>
      <c r="C51" s="120">
        <v>150</v>
      </c>
      <c r="D51" s="22">
        <f t="shared" si="7"/>
        <v>34.5</v>
      </c>
      <c r="E51" s="22">
        <f t="shared" si="8"/>
        <v>184.5</v>
      </c>
      <c r="F51" s="24" t="s">
        <v>14</v>
      </c>
      <c r="G51" s="131"/>
    </row>
    <row r="52" spans="1:26" ht="14">
      <c r="A52" s="21" t="s">
        <v>179</v>
      </c>
      <c r="B52" s="21"/>
      <c r="C52" s="120">
        <v>250</v>
      </c>
      <c r="D52" s="22">
        <f t="shared" si="7"/>
        <v>57.5</v>
      </c>
      <c r="E52" s="22">
        <f t="shared" si="8"/>
        <v>307.5</v>
      </c>
      <c r="F52" s="24" t="s">
        <v>14</v>
      </c>
      <c r="G52" s="131"/>
    </row>
    <row r="53" spans="1:26" ht="14">
      <c r="A53" s="21" t="s">
        <v>81</v>
      </c>
      <c r="B53" s="21"/>
      <c r="C53" s="120">
        <v>150</v>
      </c>
      <c r="D53" s="22">
        <f t="shared" si="7"/>
        <v>34.5</v>
      </c>
      <c r="E53" s="22">
        <f t="shared" si="8"/>
        <v>184.5</v>
      </c>
      <c r="F53" s="24" t="s">
        <v>14</v>
      </c>
      <c r="G53" s="131"/>
    </row>
    <row r="54" spans="1:26" ht="14">
      <c r="A54" s="21" t="s">
        <v>180</v>
      </c>
      <c r="B54" s="21"/>
      <c r="C54" s="120">
        <v>420</v>
      </c>
      <c r="D54" s="22">
        <f t="shared" si="7"/>
        <v>96.600000000000009</v>
      </c>
      <c r="E54" s="22">
        <f t="shared" si="8"/>
        <v>516.6</v>
      </c>
      <c r="F54" s="24" t="s">
        <v>14</v>
      </c>
      <c r="G54" s="131"/>
    </row>
    <row r="55" spans="1:26" ht="14">
      <c r="A55" s="21" t="s">
        <v>181</v>
      </c>
      <c r="B55" s="21"/>
      <c r="C55" s="120">
        <f>310*2*6</f>
        <v>3720</v>
      </c>
      <c r="D55" s="22">
        <f t="shared" si="7"/>
        <v>855.6</v>
      </c>
      <c r="E55" s="22">
        <f t="shared" si="8"/>
        <v>4575.6000000000004</v>
      </c>
      <c r="F55" s="24" t="s">
        <v>14</v>
      </c>
      <c r="G55" s="131"/>
    </row>
    <row r="56" spans="1:26" ht="14">
      <c r="A56" s="21" t="s">
        <v>182</v>
      </c>
      <c r="B56" s="21"/>
      <c r="C56" s="120">
        <v>660</v>
      </c>
      <c r="D56" s="22">
        <f t="shared" si="7"/>
        <v>151.80000000000001</v>
      </c>
      <c r="E56" s="22">
        <f t="shared" si="8"/>
        <v>811.8</v>
      </c>
      <c r="F56" s="24" t="s">
        <v>14</v>
      </c>
      <c r="G56" s="131"/>
    </row>
    <row r="57" spans="1:26" ht="14">
      <c r="A57" s="21" t="s">
        <v>183</v>
      </c>
      <c r="B57" s="21"/>
      <c r="C57" s="120">
        <f>1450</f>
        <v>1450</v>
      </c>
      <c r="D57" s="22">
        <f t="shared" si="7"/>
        <v>333.5</v>
      </c>
      <c r="E57" s="22">
        <f t="shared" si="8"/>
        <v>1783.5</v>
      </c>
      <c r="F57" s="24" t="s">
        <v>14</v>
      </c>
      <c r="G57" s="131"/>
    </row>
    <row r="58" spans="1:26" ht="14">
      <c r="A58" s="121"/>
      <c r="B58" s="65"/>
      <c r="C58" s="122"/>
      <c r="D58" s="123"/>
      <c r="E58" s="66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4">
      <c r="A59" s="2" t="s">
        <v>89</v>
      </c>
      <c r="B59" s="5"/>
      <c r="C59" s="34"/>
      <c r="D59" s="35"/>
      <c r="E59" s="36"/>
      <c r="G59" s="37"/>
    </row>
    <row r="60" spans="1:26" ht="14">
      <c r="A60" s="32" t="s">
        <v>90</v>
      </c>
      <c r="B60" s="32"/>
      <c r="C60" s="22">
        <f>780/2</f>
        <v>390</v>
      </c>
      <c r="D60" s="23">
        <v>0</v>
      </c>
      <c r="E60" s="23">
        <f t="shared" ref="E60:E63" si="9">C60+D60</f>
        <v>390</v>
      </c>
      <c r="F60" s="24" t="s">
        <v>14</v>
      </c>
      <c r="G60" s="44" t="s">
        <v>91</v>
      </c>
    </row>
    <row r="61" spans="1:26" ht="14">
      <c r="A61" s="21" t="s">
        <v>92</v>
      </c>
      <c r="B61" s="21"/>
      <c r="C61" s="22">
        <f>863.14/2</f>
        <v>431.57</v>
      </c>
      <c r="D61" s="23">
        <v>0</v>
      </c>
      <c r="E61" s="23">
        <f t="shared" si="9"/>
        <v>431.57</v>
      </c>
      <c r="F61" s="24" t="s">
        <v>43</v>
      </c>
      <c r="G61" s="26" t="s">
        <v>93</v>
      </c>
    </row>
    <row r="62" spans="1:26" ht="14">
      <c r="A62" s="21" t="s">
        <v>94</v>
      </c>
      <c r="B62" s="21"/>
      <c r="C62" s="22">
        <f>3839.62</f>
        <v>3839.62</v>
      </c>
      <c r="D62" s="23">
        <v>0</v>
      </c>
      <c r="E62" s="23">
        <f t="shared" si="9"/>
        <v>3839.62</v>
      </c>
      <c r="F62" s="24" t="s">
        <v>14</v>
      </c>
      <c r="G62" s="46" t="s">
        <v>95</v>
      </c>
    </row>
    <row r="63" spans="1:26" ht="14">
      <c r="A63" s="21" t="s">
        <v>96</v>
      </c>
      <c r="B63" s="21"/>
      <c r="C63" s="22">
        <v>20</v>
      </c>
      <c r="D63" s="23">
        <v>0</v>
      </c>
      <c r="E63" s="23">
        <f t="shared" si="9"/>
        <v>20</v>
      </c>
      <c r="F63" s="24" t="s">
        <v>14</v>
      </c>
      <c r="G63" s="26" t="s">
        <v>184</v>
      </c>
    </row>
    <row r="64" spans="1:26" ht="14">
      <c r="A64" s="5"/>
      <c r="B64" s="5"/>
      <c r="C64" s="34"/>
      <c r="D64" s="35"/>
      <c r="E64" s="36"/>
    </row>
    <row r="65" spans="1:26" ht="14">
      <c r="A65" s="2" t="s">
        <v>97</v>
      </c>
      <c r="B65" s="5"/>
      <c r="C65" s="34"/>
      <c r="D65" s="35"/>
      <c r="E65" s="36"/>
    </row>
    <row r="66" spans="1:26" ht="14">
      <c r="A66" s="67" t="s">
        <v>98</v>
      </c>
      <c r="B66" s="21"/>
      <c r="C66" s="22">
        <v>10976.36</v>
      </c>
      <c r="D66" s="23">
        <v>0</v>
      </c>
      <c r="E66" s="23">
        <f t="shared" ref="E66:E75" si="10">C66+D66</f>
        <v>10976.36</v>
      </c>
      <c r="F66" s="68" t="s">
        <v>14</v>
      </c>
      <c r="G66" s="69" t="s">
        <v>185</v>
      </c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30">
      <c r="A67" s="82" t="s">
        <v>114</v>
      </c>
      <c r="B67" s="83" t="s">
        <v>115</v>
      </c>
      <c r="C67" s="84">
        <f>2039/2</f>
        <v>1019.5</v>
      </c>
      <c r="D67" s="84">
        <f t="shared" ref="D67:D72" si="11">C67*0.23</f>
        <v>234.48500000000001</v>
      </c>
      <c r="E67" s="84">
        <f t="shared" si="10"/>
        <v>1253.9850000000001</v>
      </c>
      <c r="F67" s="85" t="s">
        <v>14</v>
      </c>
      <c r="G67" s="93" t="s">
        <v>116</v>
      </c>
    </row>
    <row r="68" spans="1:26" ht="30">
      <c r="A68" s="82" t="s">
        <v>117</v>
      </c>
      <c r="B68" s="83" t="s">
        <v>118</v>
      </c>
      <c r="C68" s="84">
        <f>1243/2</f>
        <v>621.5</v>
      </c>
      <c r="D68" s="84">
        <f t="shared" si="11"/>
        <v>142.94499999999999</v>
      </c>
      <c r="E68" s="84">
        <f t="shared" si="10"/>
        <v>764.44499999999994</v>
      </c>
      <c r="F68" s="86" t="s">
        <v>14</v>
      </c>
      <c r="G68" s="93" t="s">
        <v>116</v>
      </c>
    </row>
    <row r="69" spans="1:26" ht="14">
      <c r="A69" s="21" t="s">
        <v>119</v>
      </c>
      <c r="B69" s="21" t="s">
        <v>120</v>
      </c>
      <c r="C69" s="22">
        <v>1000</v>
      </c>
      <c r="D69" s="23">
        <f t="shared" si="11"/>
        <v>230</v>
      </c>
      <c r="E69" s="23">
        <f t="shared" si="10"/>
        <v>1230</v>
      </c>
      <c r="F69" s="24" t="s">
        <v>43</v>
      </c>
      <c r="G69" s="47" t="s">
        <v>113</v>
      </c>
    </row>
    <row r="70" spans="1:26" ht="30">
      <c r="A70" s="77" t="s">
        <v>121</v>
      </c>
      <c r="B70" s="78" t="s">
        <v>122</v>
      </c>
      <c r="C70" s="88">
        <f>7021.6/2</f>
        <v>3510.8</v>
      </c>
      <c r="D70" s="89">
        <f t="shared" si="11"/>
        <v>807.48400000000004</v>
      </c>
      <c r="E70" s="89">
        <f t="shared" si="10"/>
        <v>4318.2840000000006</v>
      </c>
      <c r="F70" s="24" t="s">
        <v>14</v>
      </c>
      <c r="G70" s="124" t="s">
        <v>123</v>
      </c>
    </row>
    <row r="71" spans="1:26" ht="14">
      <c r="A71" s="77" t="s">
        <v>186</v>
      </c>
      <c r="B71" s="77" t="s">
        <v>187</v>
      </c>
      <c r="C71" s="88">
        <v>10000</v>
      </c>
      <c r="D71" s="89">
        <f t="shared" si="11"/>
        <v>2300</v>
      </c>
      <c r="E71" s="89">
        <f t="shared" si="10"/>
        <v>12300</v>
      </c>
      <c r="F71" s="24" t="s">
        <v>14</v>
      </c>
      <c r="G71" s="125" t="s">
        <v>188</v>
      </c>
    </row>
    <row r="72" spans="1:26" ht="15">
      <c r="A72" s="126" t="s">
        <v>124</v>
      </c>
      <c r="B72" s="126" t="s">
        <v>189</v>
      </c>
      <c r="C72" s="127">
        <v>3016.67</v>
      </c>
      <c r="D72" s="127">
        <f t="shared" si="11"/>
        <v>693.83410000000003</v>
      </c>
      <c r="E72" s="127">
        <f t="shared" si="10"/>
        <v>3710.5041000000001</v>
      </c>
      <c r="F72" s="128" t="s">
        <v>14</v>
      </c>
      <c r="G72" s="129" t="s">
        <v>126</v>
      </c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</row>
    <row r="73" spans="1:26" ht="14">
      <c r="A73" s="32" t="s">
        <v>190</v>
      </c>
      <c r="B73" s="91" t="s">
        <v>191</v>
      </c>
      <c r="C73" s="22">
        <v>120</v>
      </c>
      <c r="D73" s="23">
        <v>27.2</v>
      </c>
      <c r="E73" s="23">
        <f t="shared" si="10"/>
        <v>147.19999999999999</v>
      </c>
      <c r="F73" s="24" t="s">
        <v>43</v>
      </c>
      <c r="G73" s="33" t="s">
        <v>192</v>
      </c>
    </row>
    <row r="74" spans="1:26" ht="14">
      <c r="A74" s="32" t="s">
        <v>139</v>
      </c>
      <c r="B74" s="91" t="s">
        <v>140</v>
      </c>
      <c r="C74" s="22">
        <v>120</v>
      </c>
      <c r="D74" s="23">
        <v>0</v>
      </c>
      <c r="E74" s="23">
        <f t="shared" si="10"/>
        <v>120</v>
      </c>
      <c r="F74" s="24" t="s">
        <v>14</v>
      </c>
      <c r="G74" s="15"/>
    </row>
    <row r="75" spans="1:26" ht="14">
      <c r="A75" s="32" t="s">
        <v>141</v>
      </c>
      <c r="B75" s="32" t="s">
        <v>142</v>
      </c>
      <c r="C75" s="22">
        <v>180.52</v>
      </c>
      <c r="D75" s="23">
        <v>0</v>
      </c>
      <c r="E75" s="23">
        <f t="shared" si="10"/>
        <v>180.52</v>
      </c>
      <c r="F75" s="24" t="s">
        <v>14</v>
      </c>
      <c r="G75" s="51" t="s">
        <v>143</v>
      </c>
    </row>
    <row r="76" spans="1:26" ht="14">
      <c r="A76" s="5"/>
      <c r="B76" s="5"/>
      <c r="C76" s="99"/>
      <c r="D76" s="5"/>
      <c r="E76" s="5"/>
      <c r="G76" s="15"/>
    </row>
    <row r="77" spans="1:26" ht="14">
      <c r="A77" s="100" t="s">
        <v>144</v>
      </c>
      <c r="B77" s="101"/>
      <c r="C77" s="102" t="e">
        <f>SUM(C8:C76)</f>
        <v>#REF!</v>
      </c>
      <c r="D77" s="102">
        <f>SUM(D7:D76)</f>
        <v>15418.383950000001</v>
      </c>
      <c r="E77" s="103" t="e">
        <f>C77+D77</f>
        <v>#REF!</v>
      </c>
    </row>
    <row r="78" spans="1:26" ht="14">
      <c r="A78" s="5"/>
      <c r="B78" s="5"/>
      <c r="C78" s="5"/>
      <c r="D78" s="5"/>
      <c r="E78" s="5"/>
    </row>
    <row r="79" spans="1:26" ht="14">
      <c r="A79" s="5"/>
      <c r="B79" s="5"/>
      <c r="C79" s="5"/>
      <c r="D79" s="5"/>
      <c r="E79" s="5"/>
    </row>
    <row r="80" spans="1:26" ht="14">
      <c r="A80" s="5"/>
      <c r="B80" s="5"/>
      <c r="C80" s="5"/>
      <c r="D80" s="5"/>
      <c r="E80" s="5"/>
    </row>
    <row r="81" spans="1:5" ht="14">
      <c r="A81" s="5"/>
      <c r="B81" s="5"/>
      <c r="C81" s="5"/>
      <c r="D81" s="5"/>
      <c r="E81" s="5"/>
    </row>
    <row r="82" spans="1:5" ht="14">
      <c r="A82" s="5"/>
      <c r="B82" s="5"/>
      <c r="C82" s="5"/>
      <c r="D82" s="5"/>
      <c r="E82" s="5"/>
    </row>
    <row r="83" spans="1:5" ht="14">
      <c r="A83" s="5"/>
      <c r="B83" s="5"/>
      <c r="C83" s="5"/>
      <c r="D83" s="5"/>
      <c r="E83" s="5"/>
    </row>
    <row r="84" spans="1:5" ht="14">
      <c r="A84" s="5"/>
      <c r="B84" s="5"/>
      <c r="C84" s="5"/>
      <c r="D84" s="5"/>
      <c r="E84" s="5"/>
    </row>
    <row r="85" spans="1:5" ht="14">
      <c r="A85" s="5"/>
      <c r="B85" s="5"/>
      <c r="C85" s="5"/>
      <c r="D85" s="5"/>
      <c r="E85" s="5"/>
    </row>
  </sheetData>
  <mergeCells count="1">
    <mergeCell ref="G50:G57"/>
  </mergeCells>
  <dataValidations count="1">
    <dataValidation type="list" allowBlank="1" showErrorMessage="1" sqref="F8:F9 F12:F13 F16:F17 F20:F24 F27:F30 F33:F36 F39:F41 F44 F47 F50:F57 F60:F63 F66:F75" xr:uid="{00000000-0002-0000-0200-000000000000}">
      <formula1>"PAGO,LANÇADO,EM NEGOCIAÇÃO,PAGO PARCIALMENTE,OUTROS,FLUXO (FALTA FT) "</formula1>
    </dataValidation>
  </dataValidations>
  <hyperlinks>
    <hyperlink ref="B8" r:id="rId1" xr:uid="{00000000-0004-0000-0200-000000000000}"/>
    <hyperlink ref="G8" r:id="rId2" xr:uid="{00000000-0004-0000-0200-000001000000}"/>
    <hyperlink ref="H8" r:id="rId3" xr:uid="{00000000-0004-0000-0200-000002000000}"/>
    <hyperlink ref="G9" r:id="rId4" xr:uid="{00000000-0004-0000-0200-000003000000}"/>
    <hyperlink ref="G12" r:id="rId5" xr:uid="{00000000-0004-0000-0200-000004000000}"/>
    <hyperlink ref="G13" r:id="rId6" xr:uid="{00000000-0004-0000-0200-000005000000}"/>
    <hyperlink ref="G17" r:id="rId7" xr:uid="{00000000-0004-0000-0200-000006000000}"/>
    <hyperlink ref="G20" r:id="rId8" xr:uid="{00000000-0004-0000-0200-000007000000}"/>
    <hyperlink ref="H20" r:id="rId9" xr:uid="{00000000-0004-0000-0200-000008000000}"/>
    <hyperlink ref="G21" r:id="rId10" xr:uid="{00000000-0004-0000-0200-000009000000}"/>
    <hyperlink ref="G22" r:id="rId11" xr:uid="{00000000-0004-0000-0200-00000A000000}"/>
    <hyperlink ref="H22" r:id="rId12" xr:uid="{00000000-0004-0000-0200-00000B000000}"/>
    <hyperlink ref="G23" r:id="rId13" xr:uid="{00000000-0004-0000-0200-00000C000000}"/>
    <hyperlink ref="G24" r:id="rId14" xr:uid="{00000000-0004-0000-0200-00000D000000}"/>
    <hyperlink ref="G27" r:id="rId15" xr:uid="{00000000-0004-0000-0200-00000E000000}"/>
    <hyperlink ref="G28" r:id="rId16" xr:uid="{00000000-0004-0000-0200-00000F000000}"/>
    <hyperlink ref="G29" r:id="rId17" xr:uid="{00000000-0004-0000-0200-000010000000}"/>
    <hyperlink ref="G30" r:id="rId18" xr:uid="{00000000-0004-0000-0200-000011000000}"/>
    <hyperlink ref="G33" r:id="rId19" xr:uid="{00000000-0004-0000-0200-000012000000}"/>
    <hyperlink ref="G34" r:id="rId20" xr:uid="{00000000-0004-0000-0200-000013000000}"/>
    <hyperlink ref="H34" r:id="rId21" xr:uid="{00000000-0004-0000-0200-000014000000}"/>
    <hyperlink ref="G35" r:id="rId22" xr:uid="{00000000-0004-0000-0200-000015000000}"/>
    <hyperlink ref="G36" r:id="rId23" xr:uid="{00000000-0004-0000-0200-000016000000}"/>
    <hyperlink ref="G39" r:id="rId24" xr:uid="{00000000-0004-0000-0200-000017000000}"/>
    <hyperlink ref="H39" r:id="rId25" xr:uid="{00000000-0004-0000-0200-000018000000}"/>
    <hyperlink ref="G40" r:id="rId26" xr:uid="{00000000-0004-0000-0200-000019000000}"/>
    <hyperlink ref="G41" r:id="rId27" xr:uid="{00000000-0004-0000-0200-00001A000000}"/>
    <hyperlink ref="G44" r:id="rId28" xr:uid="{00000000-0004-0000-0200-00001B000000}"/>
    <hyperlink ref="G47" r:id="rId29" xr:uid="{00000000-0004-0000-0200-00001C000000}"/>
    <hyperlink ref="G50" r:id="rId30" xr:uid="{00000000-0004-0000-0200-00001D000000}"/>
    <hyperlink ref="G60" r:id="rId31" xr:uid="{00000000-0004-0000-0200-00001E000000}"/>
    <hyperlink ref="G61" r:id="rId32" xr:uid="{00000000-0004-0000-0200-00001F000000}"/>
    <hyperlink ref="G62" r:id="rId33" xr:uid="{00000000-0004-0000-0200-000020000000}"/>
    <hyperlink ref="G63" r:id="rId34" xr:uid="{00000000-0004-0000-0200-000021000000}"/>
    <hyperlink ref="G66" r:id="rId35" xr:uid="{00000000-0004-0000-0200-000022000000}"/>
    <hyperlink ref="G67" r:id="rId36" xr:uid="{00000000-0004-0000-0200-000023000000}"/>
    <hyperlink ref="G68" r:id="rId37" xr:uid="{00000000-0004-0000-0200-000024000000}"/>
    <hyperlink ref="G69" r:id="rId38" xr:uid="{00000000-0004-0000-0200-000025000000}"/>
    <hyperlink ref="G70" r:id="rId39" xr:uid="{00000000-0004-0000-0200-000026000000}"/>
    <hyperlink ref="G71" r:id="rId40" xr:uid="{00000000-0004-0000-0200-000027000000}"/>
    <hyperlink ref="G72" r:id="rId41" xr:uid="{00000000-0004-0000-0200-000028000000}"/>
    <hyperlink ref="G73" r:id="rId42" xr:uid="{00000000-0004-0000-0200-000029000000}"/>
    <hyperlink ref="G75" r:id="rId43" xr:uid="{00000000-0004-0000-0200-00002A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CUSTOS LISBOA</vt:lpstr>
      <vt:lpstr>CUSTOS PORTO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Neto</cp:lastModifiedBy>
  <dcterms:modified xsi:type="dcterms:W3CDTF">2026-03-24T17:11:58Z</dcterms:modified>
</cp:coreProperties>
</file>